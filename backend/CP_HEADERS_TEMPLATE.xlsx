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_xlnm._FilterDatabase" localSheetId="0" hidden="1">'Sheet1'!$A$18:$BR$29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[$$-409]* #,##0.00_ ;_-[$$-409]* \-#,##0.00\ ;_-[$$-409]* &quot;-&quot;??_ ;_-@_ 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0" borderId="8" applyAlignment="1" pivotButton="0" quotePrefix="0" xfId="0">
      <alignment wrapText="1"/>
    </xf>
    <xf numFmtId="0" fontId="0" fillId="0" borderId="8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0" fontId="0" fillId="0" borderId="8" applyAlignment="1" pivotButton="0" quotePrefix="0" xfId="0">
      <alignment horizontal="center" wrapText="1"/>
    </xf>
    <xf numFmtId="49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wrapText="1"/>
    </xf>
    <xf numFmtId="0" fontId="0" fillId="0" borderId="8" applyAlignment="1" pivotButton="0" quotePrefix="0" xfId="0">
      <alignment horizontal="left"/>
    </xf>
    <xf numFmtId="49" fontId="0" fillId="0" borderId="8" applyAlignment="1" pivotButton="0" quotePrefix="0" xfId="0">
      <alignment horizontal="left"/>
    </xf>
    <xf numFmtId="1" fontId="0" fillId="0" borderId="8" applyAlignment="1" pivotButton="0" quotePrefix="0" xfId="0">
      <alignment horizontal="left"/>
    </xf>
    <xf numFmtId="164" fontId="0" fillId="0" borderId="8" applyAlignment="1" pivotButton="0" quotePrefix="0" xfId="0">
      <alignment horizontal="left"/>
    </xf>
    <xf numFmtId="14" fontId="0" fillId="0" borderId="8" applyAlignment="1" pivotButton="0" quotePrefix="0" xfId="0">
      <alignment horizontal="left"/>
    </xf>
    <xf numFmtId="14" fontId="0" fillId="3" borderId="8" applyAlignment="1" pivotButton="0" quotePrefix="0" xfId="0">
      <alignment horizontal="left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14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4" fontId="0" fillId="0" borderId="8" pivotButton="0" quotePrefix="0" xfId="0"/>
    <xf numFmtId="0" fontId="1" fillId="0" borderId="3" applyAlignment="1" pivotButton="0" quotePrefix="0" xfId="0">
      <alignment horizontal="center" vertical="center" textRotation="90" wrapText="1"/>
    </xf>
    <xf numFmtId="0" fontId="1" fillId="0" borderId="8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textRotation="90" wrapText="1"/>
    </xf>
    <xf numFmtId="164" fontId="1" fillId="0" borderId="3" applyAlignment="1" pivotButton="0" quotePrefix="0" xfId="0">
      <alignment horizontal="center" vertical="center" wrapText="1"/>
    </xf>
    <xf numFmtId="14" fontId="1" fillId="0" borderId="8" applyAlignment="1" pivotButton="0" quotePrefix="0" xfId="0">
      <alignment horizontal="center" vertical="center" wrapText="1"/>
    </xf>
    <xf numFmtId="14" fontId="1" fillId="2" borderId="3" applyAlignment="1" pivotButton="0" quotePrefix="0" xfId="0">
      <alignment horizontal="center" vertical="center" wrapText="1"/>
    </xf>
    <xf numFmtId="14" fontId="1" fillId="2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8" applyAlignment="1" pivotButton="0" quotePrefix="0" xfId="0">
      <alignment horizontal="left" vertical="center"/>
    </xf>
    <xf numFmtId="1" fontId="1" fillId="0" borderId="6" applyAlignment="1" pivotButton="0" quotePrefix="0" xfId="0">
      <alignment horizontal="center" vertical="center" textRotation="90" wrapText="1"/>
    </xf>
    <xf numFmtId="164" fontId="1" fillId="0" borderId="6" applyAlignment="1" pivotButton="0" quotePrefix="0" xfId="0">
      <alignment horizontal="center" vertical="center" wrapText="1"/>
    </xf>
    <xf numFmtId="14" fontId="1" fillId="0" borderId="6" applyAlignment="1" pivotButton="0" quotePrefix="0" xfId="0">
      <alignment horizontal="center" vertical="center" wrapText="1"/>
    </xf>
    <xf numFmtId="14" fontId="1" fillId="2" borderId="6" applyAlignment="1" pivotButton="0" quotePrefix="0" xfId="0">
      <alignment horizontal="center" vertical="center" wrapText="1"/>
    </xf>
    <xf numFmtId="49" fontId="1" fillId="4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/>
    </xf>
    <xf numFmtId="14" fontId="2" fillId="0" borderId="8" applyAlignment="1" pivotButton="0" quotePrefix="0" xfId="0">
      <alignment vertical="center" wrapText="1"/>
    </xf>
    <xf numFmtId="14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textRotation="90" wrapText="1"/>
    </xf>
    <xf numFmtId="1" fontId="1" fillId="0" borderId="7" applyAlignment="1" pivotButton="0" quotePrefix="0" xfId="0">
      <alignment horizontal="center" vertical="center" textRotation="90" wrapText="1"/>
    </xf>
    <xf numFmtId="164" fontId="1" fillId="0" borderId="7" applyAlignment="1" pivotButton="0" quotePrefix="0" xfId="0">
      <alignment horizontal="center" vertical="center" wrapText="1"/>
    </xf>
    <xf numFmtId="14" fontId="1" fillId="2" borderId="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textRotation="90" wrapText="1"/>
    </xf>
    <xf numFmtId="0" fontId="0" fillId="0" borderId="4" pivotButton="0" quotePrefix="0" xfId="0"/>
    <xf numFmtId="0" fontId="0" fillId="0" borderId="5" pivotButton="0" quotePrefix="0" xfId="0"/>
    <xf numFmtId="1" fontId="1" fillId="0" borderId="11" applyAlignment="1" pivotButton="0" quotePrefix="0" xfId="0">
      <alignment horizontal="center" vertical="center" textRotation="90" wrapText="1"/>
    </xf>
    <xf numFmtId="164" fontId="1" fillId="0" borderId="11" applyAlignment="1" pivotButton="0" quotePrefix="0" xfId="0">
      <alignment horizontal="center" vertical="center" wrapText="1"/>
    </xf>
    <xf numFmtId="14" fontId="1" fillId="0" borderId="11" applyAlignment="1" pivotButton="0" quotePrefix="0" xfId="0">
      <alignment horizontal="center" vertical="center" wrapText="1"/>
    </xf>
    <xf numFmtId="14" fontId="1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Z:\SourceLab\Merchandiser\FACTORIES\CP%202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P"/>
      <sheetName val="Ex-Factoried"/>
      <sheetName val="LOOKUPS"/>
    </sheetNames>
    <sheetDataSet>
      <sheetData sheetId="0"/>
      <sheetData sheetId="1"/>
      <sheetData sheetId="2">
        <row r="1">
          <cell r="A1" t="str">
            <v>DATE</v>
          </cell>
          <cell r="B1" t="str">
            <v>MONTH</v>
          </cell>
        </row>
        <row r="2">
          <cell r="A2">
            <v>45658</v>
          </cell>
          <cell r="B2" t="str">
            <v>January</v>
          </cell>
        </row>
        <row r="3">
          <cell r="A3">
            <v>45659</v>
          </cell>
          <cell r="B3" t="str">
            <v>January</v>
          </cell>
        </row>
        <row r="4">
          <cell r="A4">
            <v>45660</v>
          </cell>
          <cell r="B4" t="str">
            <v>January</v>
          </cell>
        </row>
        <row r="5">
          <cell r="A5">
            <v>45661</v>
          </cell>
          <cell r="B5" t="str">
            <v>January</v>
          </cell>
        </row>
        <row r="6">
          <cell r="A6">
            <v>45662</v>
          </cell>
          <cell r="B6" t="str">
            <v>January</v>
          </cell>
        </row>
        <row r="7">
          <cell r="A7">
            <v>45663</v>
          </cell>
          <cell r="B7" t="str">
            <v>January</v>
          </cell>
        </row>
        <row r="8">
          <cell r="A8">
            <v>45664</v>
          </cell>
          <cell r="B8" t="str">
            <v>January</v>
          </cell>
        </row>
        <row r="9">
          <cell r="A9">
            <v>45665</v>
          </cell>
          <cell r="B9" t="str">
            <v>January</v>
          </cell>
        </row>
        <row r="10">
          <cell r="A10">
            <v>45666</v>
          </cell>
          <cell r="B10" t="str">
            <v>January</v>
          </cell>
        </row>
        <row r="11">
          <cell r="A11">
            <v>45667</v>
          </cell>
          <cell r="B11" t="str">
            <v>January</v>
          </cell>
        </row>
        <row r="12">
          <cell r="A12">
            <v>45668</v>
          </cell>
          <cell r="B12" t="str">
            <v>January</v>
          </cell>
        </row>
        <row r="13">
          <cell r="A13">
            <v>45669</v>
          </cell>
          <cell r="B13" t="str">
            <v>January</v>
          </cell>
        </row>
        <row r="14">
          <cell r="A14">
            <v>45670</v>
          </cell>
          <cell r="B14" t="str">
            <v>January</v>
          </cell>
        </row>
        <row r="15">
          <cell r="A15">
            <v>45671</v>
          </cell>
          <cell r="B15" t="str">
            <v>January</v>
          </cell>
        </row>
        <row r="16">
          <cell r="A16">
            <v>45672</v>
          </cell>
          <cell r="B16" t="str">
            <v>January</v>
          </cell>
        </row>
        <row r="17">
          <cell r="A17">
            <v>45673</v>
          </cell>
          <cell r="B17" t="str">
            <v>January</v>
          </cell>
        </row>
        <row r="18">
          <cell r="A18">
            <v>45674</v>
          </cell>
          <cell r="B18" t="str">
            <v>January</v>
          </cell>
        </row>
        <row r="19">
          <cell r="A19">
            <v>45675</v>
          </cell>
          <cell r="B19" t="str">
            <v>January</v>
          </cell>
        </row>
        <row r="20">
          <cell r="A20">
            <v>45676</v>
          </cell>
          <cell r="B20" t="str">
            <v>January</v>
          </cell>
        </row>
        <row r="21">
          <cell r="A21">
            <v>45677</v>
          </cell>
          <cell r="B21" t="str">
            <v>January</v>
          </cell>
        </row>
        <row r="22">
          <cell r="A22">
            <v>45678</v>
          </cell>
          <cell r="B22" t="str">
            <v>January</v>
          </cell>
        </row>
        <row r="23">
          <cell r="A23">
            <v>45679</v>
          </cell>
          <cell r="B23" t="str">
            <v>January</v>
          </cell>
        </row>
        <row r="24">
          <cell r="A24">
            <v>45680</v>
          </cell>
          <cell r="B24" t="str">
            <v>January</v>
          </cell>
        </row>
        <row r="25">
          <cell r="A25">
            <v>45681</v>
          </cell>
          <cell r="B25" t="str">
            <v>January</v>
          </cell>
        </row>
        <row r="26">
          <cell r="A26">
            <v>45682</v>
          </cell>
          <cell r="B26" t="str">
            <v>January</v>
          </cell>
        </row>
        <row r="27">
          <cell r="A27">
            <v>45683</v>
          </cell>
          <cell r="B27" t="str">
            <v>January</v>
          </cell>
        </row>
        <row r="28">
          <cell r="A28">
            <v>45684</v>
          </cell>
          <cell r="B28" t="str">
            <v>January</v>
          </cell>
        </row>
        <row r="29">
          <cell r="A29">
            <v>45685</v>
          </cell>
          <cell r="B29" t="str">
            <v>January</v>
          </cell>
        </row>
        <row r="30">
          <cell r="A30">
            <v>45686</v>
          </cell>
          <cell r="B30" t="str">
            <v>January</v>
          </cell>
        </row>
        <row r="31">
          <cell r="A31">
            <v>45687</v>
          </cell>
          <cell r="B31" t="str">
            <v>January</v>
          </cell>
        </row>
        <row r="32">
          <cell r="A32">
            <v>45688</v>
          </cell>
          <cell r="B32" t="str">
            <v>January</v>
          </cell>
        </row>
        <row r="33">
          <cell r="A33">
            <v>45689</v>
          </cell>
          <cell r="B33" t="str">
            <v>February</v>
          </cell>
        </row>
        <row r="34">
          <cell r="A34">
            <v>45690</v>
          </cell>
          <cell r="B34" t="str">
            <v>February</v>
          </cell>
        </row>
        <row r="35">
          <cell r="A35">
            <v>45691</v>
          </cell>
          <cell r="B35" t="str">
            <v>February</v>
          </cell>
        </row>
        <row r="36">
          <cell r="A36">
            <v>45692</v>
          </cell>
          <cell r="B36" t="str">
            <v>February</v>
          </cell>
        </row>
        <row r="37">
          <cell r="A37">
            <v>45693</v>
          </cell>
          <cell r="B37" t="str">
            <v>February</v>
          </cell>
        </row>
        <row r="38">
          <cell r="A38">
            <v>45694</v>
          </cell>
          <cell r="B38" t="str">
            <v>February</v>
          </cell>
        </row>
        <row r="39">
          <cell r="A39">
            <v>45695</v>
          </cell>
          <cell r="B39" t="str">
            <v>February</v>
          </cell>
        </row>
        <row r="40">
          <cell r="A40">
            <v>45696</v>
          </cell>
          <cell r="B40" t="str">
            <v>February</v>
          </cell>
        </row>
        <row r="41">
          <cell r="A41">
            <v>45697</v>
          </cell>
          <cell r="B41" t="str">
            <v>February</v>
          </cell>
        </row>
        <row r="42">
          <cell r="A42">
            <v>45698</v>
          </cell>
          <cell r="B42" t="str">
            <v>February</v>
          </cell>
        </row>
        <row r="43">
          <cell r="A43">
            <v>45699</v>
          </cell>
          <cell r="B43" t="str">
            <v>February</v>
          </cell>
        </row>
        <row r="44">
          <cell r="A44">
            <v>45700</v>
          </cell>
          <cell r="B44" t="str">
            <v>February</v>
          </cell>
        </row>
        <row r="45">
          <cell r="A45">
            <v>45701</v>
          </cell>
          <cell r="B45" t="str">
            <v>February</v>
          </cell>
        </row>
        <row r="46">
          <cell r="A46">
            <v>45702</v>
          </cell>
          <cell r="B46" t="str">
            <v>February</v>
          </cell>
        </row>
        <row r="47">
          <cell r="A47">
            <v>45703</v>
          </cell>
          <cell r="B47" t="str">
            <v>February</v>
          </cell>
        </row>
        <row r="48">
          <cell r="A48">
            <v>45704</v>
          </cell>
          <cell r="B48" t="str">
            <v>February</v>
          </cell>
        </row>
        <row r="49">
          <cell r="A49">
            <v>45705</v>
          </cell>
          <cell r="B49" t="str">
            <v>February</v>
          </cell>
        </row>
        <row r="50">
          <cell r="A50">
            <v>45706</v>
          </cell>
          <cell r="B50" t="str">
            <v>February</v>
          </cell>
        </row>
        <row r="51">
          <cell r="A51">
            <v>45707</v>
          </cell>
          <cell r="B51" t="str">
            <v>February</v>
          </cell>
        </row>
        <row r="52">
          <cell r="A52">
            <v>45708</v>
          </cell>
          <cell r="B52" t="str">
            <v>February</v>
          </cell>
        </row>
        <row r="53">
          <cell r="A53">
            <v>45709</v>
          </cell>
          <cell r="B53" t="str">
            <v>February</v>
          </cell>
        </row>
        <row r="54">
          <cell r="A54">
            <v>45710</v>
          </cell>
          <cell r="B54" t="str">
            <v>February</v>
          </cell>
        </row>
        <row r="55">
          <cell r="A55">
            <v>45711</v>
          </cell>
          <cell r="B55" t="str">
            <v>February</v>
          </cell>
        </row>
        <row r="56">
          <cell r="A56">
            <v>45712</v>
          </cell>
          <cell r="B56" t="str">
            <v>February</v>
          </cell>
        </row>
        <row r="57">
          <cell r="A57">
            <v>45713</v>
          </cell>
          <cell r="B57" t="str">
            <v>February</v>
          </cell>
        </row>
        <row r="58">
          <cell r="A58">
            <v>45714</v>
          </cell>
          <cell r="B58" t="str">
            <v>February</v>
          </cell>
        </row>
        <row r="59">
          <cell r="A59">
            <v>45715</v>
          </cell>
          <cell r="B59" t="str">
            <v>February</v>
          </cell>
        </row>
        <row r="60">
          <cell r="A60">
            <v>45716</v>
          </cell>
          <cell r="B60" t="str">
            <v>February</v>
          </cell>
        </row>
        <row r="61">
          <cell r="A61">
            <v>45717</v>
          </cell>
          <cell r="B61" t="str">
            <v>March</v>
          </cell>
        </row>
        <row r="62">
          <cell r="A62">
            <v>45718</v>
          </cell>
          <cell r="B62" t="str">
            <v>March</v>
          </cell>
        </row>
        <row r="63">
          <cell r="A63">
            <v>45719</v>
          </cell>
          <cell r="B63" t="str">
            <v>March</v>
          </cell>
        </row>
        <row r="64">
          <cell r="A64">
            <v>45720</v>
          </cell>
          <cell r="B64" t="str">
            <v>March</v>
          </cell>
        </row>
        <row r="65">
          <cell r="A65">
            <v>45721</v>
          </cell>
          <cell r="B65" t="str">
            <v>March</v>
          </cell>
        </row>
        <row r="66">
          <cell r="A66">
            <v>45722</v>
          </cell>
          <cell r="B66" t="str">
            <v>March</v>
          </cell>
        </row>
        <row r="67">
          <cell r="A67">
            <v>45723</v>
          </cell>
          <cell r="B67" t="str">
            <v>March</v>
          </cell>
        </row>
        <row r="68">
          <cell r="A68">
            <v>45724</v>
          </cell>
          <cell r="B68" t="str">
            <v>March</v>
          </cell>
        </row>
        <row r="69">
          <cell r="A69">
            <v>45725</v>
          </cell>
          <cell r="B69" t="str">
            <v>March</v>
          </cell>
        </row>
        <row r="70">
          <cell r="A70">
            <v>45726</v>
          </cell>
          <cell r="B70" t="str">
            <v>March</v>
          </cell>
        </row>
        <row r="71">
          <cell r="A71">
            <v>45727</v>
          </cell>
          <cell r="B71" t="str">
            <v>March</v>
          </cell>
        </row>
        <row r="72">
          <cell r="A72">
            <v>45728</v>
          </cell>
          <cell r="B72" t="str">
            <v>March</v>
          </cell>
        </row>
        <row r="73">
          <cell r="A73">
            <v>45729</v>
          </cell>
          <cell r="B73" t="str">
            <v>March</v>
          </cell>
        </row>
        <row r="74">
          <cell r="A74">
            <v>45730</v>
          </cell>
          <cell r="B74" t="str">
            <v>March</v>
          </cell>
        </row>
        <row r="75">
          <cell r="A75">
            <v>45731</v>
          </cell>
          <cell r="B75" t="str">
            <v>March</v>
          </cell>
        </row>
        <row r="76">
          <cell r="A76">
            <v>45732</v>
          </cell>
          <cell r="B76" t="str">
            <v>March</v>
          </cell>
        </row>
        <row r="77">
          <cell r="A77">
            <v>45733</v>
          </cell>
          <cell r="B77" t="str">
            <v>March</v>
          </cell>
        </row>
        <row r="78">
          <cell r="A78">
            <v>45734</v>
          </cell>
          <cell r="B78" t="str">
            <v>March</v>
          </cell>
        </row>
        <row r="79">
          <cell r="A79">
            <v>45735</v>
          </cell>
          <cell r="B79" t="str">
            <v>March</v>
          </cell>
        </row>
        <row r="80">
          <cell r="A80">
            <v>45736</v>
          </cell>
          <cell r="B80" t="str">
            <v>March</v>
          </cell>
        </row>
        <row r="81">
          <cell r="A81">
            <v>45737</v>
          </cell>
          <cell r="B81" t="str">
            <v>March</v>
          </cell>
        </row>
        <row r="82">
          <cell r="A82">
            <v>45738</v>
          </cell>
          <cell r="B82" t="str">
            <v>March</v>
          </cell>
        </row>
        <row r="83">
          <cell r="A83">
            <v>45739</v>
          </cell>
          <cell r="B83" t="str">
            <v>March</v>
          </cell>
        </row>
        <row r="84">
          <cell r="A84">
            <v>45740</v>
          </cell>
          <cell r="B84" t="str">
            <v>March</v>
          </cell>
        </row>
        <row r="85">
          <cell r="A85">
            <v>45741</v>
          </cell>
          <cell r="B85" t="str">
            <v>March</v>
          </cell>
        </row>
        <row r="86">
          <cell r="A86">
            <v>45742</v>
          </cell>
          <cell r="B86" t="str">
            <v>March</v>
          </cell>
        </row>
        <row r="87">
          <cell r="A87">
            <v>45743</v>
          </cell>
          <cell r="B87" t="str">
            <v>March</v>
          </cell>
        </row>
        <row r="88">
          <cell r="A88">
            <v>45744</v>
          </cell>
          <cell r="B88" t="str">
            <v>March</v>
          </cell>
        </row>
        <row r="89">
          <cell r="A89">
            <v>45745</v>
          </cell>
          <cell r="B89" t="str">
            <v>March</v>
          </cell>
        </row>
        <row r="90">
          <cell r="A90">
            <v>45746</v>
          </cell>
          <cell r="B90" t="str">
            <v>March</v>
          </cell>
        </row>
        <row r="91">
          <cell r="A91">
            <v>45747</v>
          </cell>
          <cell r="B91" t="str">
            <v>March</v>
          </cell>
        </row>
        <row r="92">
          <cell r="A92">
            <v>45748</v>
          </cell>
          <cell r="B92" t="str">
            <v>April</v>
          </cell>
        </row>
        <row r="93">
          <cell r="A93">
            <v>45749</v>
          </cell>
          <cell r="B93" t="str">
            <v>April</v>
          </cell>
        </row>
        <row r="94">
          <cell r="A94">
            <v>45750</v>
          </cell>
          <cell r="B94" t="str">
            <v>April</v>
          </cell>
        </row>
        <row r="95">
          <cell r="A95">
            <v>45751</v>
          </cell>
          <cell r="B95" t="str">
            <v>April</v>
          </cell>
        </row>
        <row r="96">
          <cell r="A96">
            <v>45752</v>
          </cell>
          <cell r="B96" t="str">
            <v>April</v>
          </cell>
        </row>
        <row r="97">
          <cell r="A97">
            <v>45753</v>
          </cell>
          <cell r="B97" t="str">
            <v>April</v>
          </cell>
        </row>
        <row r="98">
          <cell r="A98">
            <v>45754</v>
          </cell>
          <cell r="B98" t="str">
            <v>April</v>
          </cell>
        </row>
        <row r="99">
          <cell r="A99">
            <v>45755</v>
          </cell>
          <cell r="B99" t="str">
            <v>April</v>
          </cell>
        </row>
        <row r="100">
          <cell r="A100">
            <v>45756</v>
          </cell>
          <cell r="B100" t="str">
            <v>April</v>
          </cell>
        </row>
        <row r="101">
          <cell r="A101">
            <v>45757</v>
          </cell>
          <cell r="B101" t="str">
            <v>April</v>
          </cell>
        </row>
        <row r="102">
          <cell r="A102">
            <v>45758</v>
          </cell>
          <cell r="B102" t="str">
            <v>April</v>
          </cell>
        </row>
        <row r="103">
          <cell r="A103">
            <v>45759</v>
          </cell>
          <cell r="B103" t="str">
            <v>April</v>
          </cell>
        </row>
        <row r="104">
          <cell r="A104">
            <v>45760</v>
          </cell>
          <cell r="B104" t="str">
            <v>April</v>
          </cell>
        </row>
        <row r="105">
          <cell r="A105">
            <v>45761</v>
          </cell>
          <cell r="B105" t="str">
            <v>April</v>
          </cell>
        </row>
        <row r="106">
          <cell r="A106">
            <v>45762</v>
          </cell>
          <cell r="B106" t="str">
            <v>April</v>
          </cell>
        </row>
        <row r="107">
          <cell r="A107">
            <v>45763</v>
          </cell>
          <cell r="B107" t="str">
            <v>April</v>
          </cell>
        </row>
        <row r="108">
          <cell r="A108">
            <v>45764</v>
          </cell>
          <cell r="B108" t="str">
            <v>April</v>
          </cell>
        </row>
        <row r="109">
          <cell r="A109">
            <v>45765</v>
          </cell>
          <cell r="B109" t="str">
            <v>April</v>
          </cell>
        </row>
        <row r="110">
          <cell r="A110">
            <v>45766</v>
          </cell>
          <cell r="B110" t="str">
            <v>April</v>
          </cell>
        </row>
        <row r="111">
          <cell r="A111">
            <v>45767</v>
          </cell>
          <cell r="B111" t="str">
            <v>April</v>
          </cell>
        </row>
        <row r="112">
          <cell r="A112">
            <v>45768</v>
          </cell>
          <cell r="B112" t="str">
            <v>April</v>
          </cell>
        </row>
        <row r="113">
          <cell r="A113">
            <v>45769</v>
          </cell>
          <cell r="B113" t="str">
            <v>April</v>
          </cell>
        </row>
        <row r="114">
          <cell r="A114">
            <v>45770</v>
          </cell>
          <cell r="B114" t="str">
            <v>April</v>
          </cell>
        </row>
        <row r="115">
          <cell r="A115">
            <v>45771</v>
          </cell>
          <cell r="B115" t="str">
            <v>April</v>
          </cell>
        </row>
        <row r="116">
          <cell r="A116">
            <v>45772</v>
          </cell>
          <cell r="B116" t="str">
            <v>April</v>
          </cell>
        </row>
        <row r="117">
          <cell r="A117">
            <v>45773</v>
          </cell>
          <cell r="B117" t="str">
            <v>April</v>
          </cell>
        </row>
        <row r="118">
          <cell r="A118">
            <v>45774</v>
          </cell>
          <cell r="B118" t="str">
            <v>April</v>
          </cell>
        </row>
        <row r="119">
          <cell r="A119">
            <v>45775</v>
          </cell>
          <cell r="B119" t="str">
            <v>April</v>
          </cell>
        </row>
        <row r="120">
          <cell r="A120">
            <v>45776</v>
          </cell>
          <cell r="B120" t="str">
            <v>April</v>
          </cell>
        </row>
        <row r="121">
          <cell r="A121">
            <v>45777</v>
          </cell>
          <cell r="B121" t="str">
            <v>April</v>
          </cell>
        </row>
        <row r="122">
          <cell r="A122">
            <v>45778</v>
          </cell>
          <cell r="B122" t="str">
            <v>May</v>
          </cell>
        </row>
        <row r="123">
          <cell r="A123">
            <v>45779</v>
          </cell>
          <cell r="B123" t="str">
            <v>May</v>
          </cell>
        </row>
        <row r="124">
          <cell r="A124">
            <v>45780</v>
          </cell>
          <cell r="B124" t="str">
            <v>May</v>
          </cell>
        </row>
        <row r="125">
          <cell r="A125">
            <v>45781</v>
          </cell>
          <cell r="B125" t="str">
            <v>May</v>
          </cell>
        </row>
        <row r="126">
          <cell r="A126">
            <v>45782</v>
          </cell>
          <cell r="B126" t="str">
            <v>May</v>
          </cell>
        </row>
        <row r="127">
          <cell r="A127">
            <v>45783</v>
          </cell>
          <cell r="B127" t="str">
            <v>May</v>
          </cell>
        </row>
        <row r="128">
          <cell r="A128">
            <v>45784</v>
          </cell>
          <cell r="B128" t="str">
            <v>May</v>
          </cell>
        </row>
        <row r="129">
          <cell r="A129">
            <v>45785</v>
          </cell>
          <cell r="B129" t="str">
            <v>May</v>
          </cell>
        </row>
        <row r="130">
          <cell r="A130">
            <v>45786</v>
          </cell>
          <cell r="B130" t="str">
            <v>May</v>
          </cell>
        </row>
        <row r="131">
          <cell r="A131">
            <v>45787</v>
          </cell>
          <cell r="B131" t="str">
            <v>May</v>
          </cell>
        </row>
        <row r="132">
          <cell r="A132">
            <v>45788</v>
          </cell>
          <cell r="B132" t="str">
            <v>May</v>
          </cell>
        </row>
        <row r="133">
          <cell r="A133">
            <v>45789</v>
          </cell>
          <cell r="B133" t="str">
            <v>May</v>
          </cell>
        </row>
        <row r="134">
          <cell r="A134">
            <v>45790</v>
          </cell>
          <cell r="B134" t="str">
            <v>May</v>
          </cell>
        </row>
        <row r="135">
          <cell r="A135">
            <v>45791</v>
          </cell>
          <cell r="B135" t="str">
            <v>May</v>
          </cell>
        </row>
        <row r="136">
          <cell r="A136">
            <v>45792</v>
          </cell>
          <cell r="B136" t="str">
            <v>May</v>
          </cell>
        </row>
        <row r="137">
          <cell r="A137">
            <v>45793</v>
          </cell>
          <cell r="B137" t="str">
            <v>May</v>
          </cell>
        </row>
        <row r="138">
          <cell r="A138">
            <v>45794</v>
          </cell>
          <cell r="B138" t="str">
            <v>May</v>
          </cell>
        </row>
        <row r="139">
          <cell r="A139">
            <v>45795</v>
          </cell>
          <cell r="B139" t="str">
            <v>May</v>
          </cell>
        </row>
        <row r="140">
          <cell r="A140">
            <v>45796</v>
          </cell>
          <cell r="B140" t="str">
            <v>May</v>
          </cell>
        </row>
        <row r="141">
          <cell r="A141">
            <v>45797</v>
          </cell>
          <cell r="B141" t="str">
            <v>May</v>
          </cell>
        </row>
        <row r="142">
          <cell r="A142">
            <v>45798</v>
          </cell>
          <cell r="B142" t="str">
            <v>May</v>
          </cell>
        </row>
        <row r="143">
          <cell r="A143">
            <v>45799</v>
          </cell>
          <cell r="B143" t="str">
            <v>May</v>
          </cell>
        </row>
        <row r="144">
          <cell r="A144">
            <v>45800</v>
          </cell>
          <cell r="B144" t="str">
            <v>May</v>
          </cell>
        </row>
        <row r="145">
          <cell r="A145">
            <v>45801</v>
          </cell>
          <cell r="B145" t="str">
            <v>May</v>
          </cell>
        </row>
        <row r="146">
          <cell r="A146">
            <v>45802</v>
          </cell>
          <cell r="B146" t="str">
            <v>May</v>
          </cell>
        </row>
        <row r="147">
          <cell r="A147">
            <v>45803</v>
          </cell>
          <cell r="B147" t="str">
            <v>May</v>
          </cell>
        </row>
        <row r="148">
          <cell r="A148">
            <v>45804</v>
          </cell>
          <cell r="B148" t="str">
            <v>May</v>
          </cell>
        </row>
        <row r="149">
          <cell r="A149">
            <v>45805</v>
          </cell>
          <cell r="B149" t="str">
            <v>May</v>
          </cell>
        </row>
        <row r="150">
          <cell r="A150">
            <v>45806</v>
          </cell>
          <cell r="B150" t="str">
            <v>May</v>
          </cell>
        </row>
        <row r="151">
          <cell r="A151">
            <v>45807</v>
          </cell>
          <cell r="B151" t="str">
            <v>May</v>
          </cell>
        </row>
        <row r="152">
          <cell r="A152">
            <v>45808</v>
          </cell>
          <cell r="B152" t="str">
            <v>May</v>
          </cell>
        </row>
        <row r="153">
          <cell r="A153">
            <v>45809</v>
          </cell>
          <cell r="B153" t="str">
            <v>June</v>
          </cell>
        </row>
        <row r="154">
          <cell r="A154">
            <v>45810</v>
          </cell>
          <cell r="B154" t="str">
            <v>June</v>
          </cell>
        </row>
        <row r="155">
          <cell r="A155">
            <v>45811</v>
          </cell>
          <cell r="B155" t="str">
            <v>June</v>
          </cell>
        </row>
        <row r="156">
          <cell r="A156">
            <v>45812</v>
          </cell>
          <cell r="B156" t="str">
            <v>June</v>
          </cell>
        </row>
        <row r="157">
          <cell r="A157">
            <v>45813</v>
          </cell>
          <cell r="B157" t="str">
            <v>June</v>
          </cell>
        </row>
        <row r="158">
          <cell r="A158">
            <v>45814</v>
          </cell>
          <cell r="B158" t="str">
            <v>June</v>
          </cell>
        </row>
        <row r="159">
          <cell r="A159">
            <v>45815</v>
          </cell>
          <cell r="B159" t="str">
            <v>June</v>
          </cell>
        </row>
        <row r="160">
          <cell r="A160">
            <v>45816</v>
          </cell>
          <cell r="B160" t="str">
            <v>June</v>
          </cell>
        </row>
        <row r="161">
          <cell r="A161">
            <v>45817</v>
          </cell>
          <cell r="B161" t="str">
            <v>June</v>
          </cell>
        </row>
        <row r="162">
          <cell r="A162">
            <v>45818</v>
          </cell>
          <cell r="B162" t="str">
            <v>June</v>
          </cell>
        </row>
        <row r="163">
          <cell r="A163">
            <v>45819</v>
          </cell>
          <cell r="B163" t="str">
            <v>June</v>
          </cell>
        </row>
        <row r="164">
          <cell r="A164">
            <v>45820</v>
          </cell>
          <cell r="B164" t="str">
            <v>June</v>
          </cell>
        </row>
        <row r="165">
          <cell r="A165">
            <v>45821</v>
          </cell>
          <cell r="B165" t="str">
            <v>June</v>
          </cell>
        </row>
        <row r="166">
          <cell r="A166">
            <v>45822</v>
          </cell>
          <cell r="B166" t="str">
            <v>June</v>
          </cell>
        </row>
        <row r="167">
          <cell r="A167">
            <v>45823</v>
          </cell>
          <cell r="B167" t="str">
            <v>June</v>
          </cell>
        </row>
        <row r="168">
          <cell r="A168">
            <v>45824</v>
          </cell>
          <cell r="B168" t="str">
            <v>June</v>
          </cell>
        </row>
        <row r="169">
          <cell r="A169">
            <v>45825</v>
          </cell>
          <cell r="B169" t="str">
            <v>June</v>
          </cell>
        </row>
        <row r="170">
          <cell r="A170">
            <v>45826</v>
          </cell>
          <cell r="B170" t="str">
            <v>June</v>
          </cell>
        </row>
        <row r="171">
          <cell r="A171">
            <v>45827</v>
          </cell>
          <cell r="B171" t="str">
            <v>June</v>
          </cell>
        </row>
        <row r="172">
          <cell r="A172">
            <v>45828</v>
          </cell>
          <cell r="B172" t="str">
            <v>June</v>
          </cell>
        </row>
        <row r="173">
          <cell r="A173">
            <v>45829</v>
          </cell>
          <cell r="B173" t="str">
            <v>June</v>
          </cell>
        </row>
        <row r="174">
          <cell r="A174">
            <v>45830</v>
          </cell>
          <cell r="B174" t="str">
            <v>June</v>
          </cell>
        </row>
        <row r="175">
          <cell r="A175">
            <v>45831</v>
          </cell>
          <cell r="B175" t="str">
            <v>June</v>
          </cell>
        </row>
        <row r="176">
          <cell r="A176">
            <v>45832</v>
          </cell>
          <cell r="B176" t="str">
            <v>June</v>
          </cell>
        </row>
        <row r="177">
          <cell r="A177">
            <v>45833</v>
          </cell>
          <cell r="B177" t="str">
            <v>June</v>
          </cell>
        </row>
        <row r="178">
          <cell r="A178">
            <v>45834</v>
          </cell>
          <cell r="B178" t="str">
            <v>June</v>
          </cell>
        </row>
        <row r="179">
          <cell r="A179">
            <v>45835</v>
          </cell>
          <cell r="B179" t="str">
            <v>June</v>
          </cell>
        </row>
        <row r="180">
          <cell r="A180">
            <v>45836</v>
          </cell>
          <cell r="B180" t="str">
            <v>June</v>
          </cell>
        </row>
        <row r="181">
          <cell r="A181">
            <v>45837</v>
          </cell>
          <cell r="B181" t="str">
            <v>June</v>
          </cell>
        </row>
        <row r="182">
          <cell r="A182">
            <v>45838</v>
          </cell>
          <cell r="B182" t="str">
            <v>June</v>
          </cell>
        </row>
        <row r="183">
          <cell r="A183">
            <v>45839</v>
          </cell>
          <cell r="B183" t="str">
            <v>July</v>
          </cell>
        </row>
        <row r="184">
          <cell r="A184">
            <v>45840</v>
          </cell>
          <cell r="B184" t="str">
            <v>July</v>
          </cell>
        </row>
        <row r="185">
          <cell r="A185">
            <v>45841</v>
          </cell>
          <cell r="B185" t="str">
            <v>July</v>
          </cell>
        </row>
        <row r="186">
          <cell r="A186">
            <v>45842</v>
          </cell>
          <cell r="B186" t="str">
            <v>July</v>
          </cell>
        </row>
        <row r="187">
          <cell r="A187">
            <v>45843</v>
          </cell>
          <cell r="B187" t="str">
            <v>July</v>
          </cell>
        </row>
        <row r="188">
          <cell r="A188">
            <v>45844</v>
          </cell>
          <cell r="B188" t="str">
            <v>July</v>
          </cell>
        </row>
        <row r="189">
          <cell r="A189">
            <v>45845</v>
          </cell>
          <cell r="B189" t="str">
            <v>July</v>
          </cell>
        </row>
        <row r="190">
          <cell r="A190">
            <v>45846</v>
          </cell>
          <cell r="B190" t="str">
            <v>July</v>
          </cell>
        </row>
        <row r="191">
          <cell r="A191">
            <v>45847</v>
          </cell>
          <cell r="B191" t="str">
            <v>July</v>
          </cell>
        </row>
        <row r="192">
          <cell r="A192">
            <v>45848</v>
          </cell>
          <cell r="B192" t="str">
            <v>July</v>
          </cell>
        </row>
        <row r="193">
          <cell r="A193">
            <v>45849</v>
          </cell>
          <cell r="B193" t="str">
            <v>July</v>
          </cell>
        </row>
        <row r="194">
          <cell r="A194">
            <v>45850</v>
          </cell>
          <cell r="B194" t="str">
            <v>July</v>
          </cell>
        </row>
        <row r="195">
          <cell r="A195">
            <v>45851</v>
          </cell>
          <cell r="B195" t="str">
            <v>July</v>
          </cell>
        </row>
        <row r="196">
          <cell r="A196">
            <v>45852</v>
          </cell>
          <cell r="B196" t="str">
            <v>July</v>
          </cell>
        </row>
        <row r="197">
          <cell r="A197">
            <v>45853</v>
          </cell>
          <cell r="B197" t="str">
            <v>July</v>
          </cell>
        </row>
        <row r="198">
          <cell r="A198">
            <v>45854</v>
          </cell>
          <cell r="B198" t="str">
            <v>July</v>
          </cell>
        </row>
        <row r="199">
          <cell r="A199">
            <v>45855</v>
          </cell>
          <cell r="B199" t="str">
            <v>July</v>
          </cell>
        </row>
        <row r="200">
          <cell r="A200">
            <v>45856</v>
          </cell>
          <cell r="B200" t="str">
            <v>July</v>
          </cell>
        </row>
        <row r="201">
          <cell r="A201">
            <v>45857</v>
          </cell>
          <cell r="B201" t="str">
            <v>July</v>
          </cell>
        </row>
        <row r="202">
          <cell r="A202">
            <v>45858</v>
          </cell>
          <cell r="B202" t="str">
            <v>July</v>
          </cell>
        </row>
        <row r="203">
          <cell r="A203">
            <v>45859</v>
          </cell>
          <cell r="B203" t="str">
            <v>July</v>
          </cell>
        </row>
        <row r="204">
          <cell r="A204">
            <v>45860</v>
          </cell>
          <cell r="B204" t="str">
            <v>July</v>
          </cell>
        </row>
        <row r="205">
          <cell r="A205">
            <v>45861</v>
          </cell>
          <cell r="B205" t="str">
            <v>July</v>
          </cell>
        </row>
        <row r="206">
          <cell r="A206">
            <v>45862</v>
          </cell>
          <cell r="B206" t="str">
            <v>July</v>
          </cell>
        </row>
        <row r="207">
          <cell r="A207">
            <v>45863</v>
          </cell>
          <cell r="B207" t="str">
            <v>July</v>
          </cell>
        </row>
        <row r="208">
          <cell r="A208">
            <v>45864</v>
          </cell>
          <cell r="B208" t="str">
            <v>July</v>
          </cell>
        </row>
        <row r="209">
          <cell r="A209">
            <v>45865</v>
          </cell>
          <cell r="B209" t="str">
            <v>July</v>
          </cell>
        </row>
        <row r="210">
          <cell r="A210">
            <v>45866</v>
          </cell>
          <cell r="B210" t="str">
            <v>July</v>
          </cell>
        </row>
        <row r="211">
          <cell r="A211">
            <v>45867</v>
          </cell>
          <cell r="B211" t="str">
            <v>July</v>
          </cell>
        </row>
        <row r="212">
          <cell r="A212">
            <v>45868</v>
          </cell>
          <cell r="B212" t="str">
            <v>July</v>
          </cell>
        </row>
        <row r="213">
          <cell r="A213">
            <v>45869</v>
          </cell>
          <cell r="B213" t="str">
            <v>July</v>
          </cell>
        </row>
        <row r="214">
          <cell r="A214">
            <v>45870</v>
          </cell>
          <cell r="B214" t="str">
            <v>August</v>
          </cell>
        </row>
        <row r="215">
          <cell r="A215">
            <v>45871</v>
          </cell>
          <cell r="B215" t="str">
            <v>August</v>
          </cell>
        </row>
        <row r="216">
          <cell r="A216">
            <v>45872</v>
          </cell>
          <cell r="B216" t="str">
            <v>August</v>
          </cell>
        </row>
        <row r="217">
          <cell r="A217">
            <v>45873</v>
          </cell>
          <cell r="B217" t="str">
            <v>August</v>
          </cell>
        </row>
        <row r="218">
          <cell r="A218">
            <v>45874</v>
          </cell>
          <cell r="B218" t="str">
            <v>August</v>
          </cell>
        </row>
        <row r="219">
          <cell r="A219">
            <v>45875</v>
          </cell>
          <cell r="B219" t="str">
            <v>August</v>
          </cell>
        </row>
        <row r="220">
          <cell r="A220">
            <v>45876</v>
          </cell>
          <cell r="B220" t="str">
            <v>August</v>
          </cell>
        </row>
        <row r="221">
          <cell r="A221">
            <v>45877</v>
          </cell>
          <cell r="B221" t="str">
            <v>August</v>
          </cell>
        </row>
        <row r="222">
          <cell r="A222">
            <v>45878</v>
          </cell>
          <cell r="B222" t="str">
            <v>August</v>
          </cell>
        </row>
        <row r="223">
          <cell r="A223">
            <v>45879</v>
          </cell>
          <cell r="B223" t="str">
            <v>August</v>
          </cell>
        </row>
        <row r="224">
          <cell r="A224">
            <v>45880</v>
          </cell>
          <cell r="B224" t="str">
            <v>August</v>
          </cell>
        </row>
        <row r="225">
          <cell r="A225">
            <v>45881</v>
          </cell>
          <cell r="B225" t="str">
            <v>August</v>
          </cell>
        </row>
        <row r="226">
          <cell r="A226">
            <v>45882</v>
          </cell>
          <cell r="B226" t="str">
            <v>August</v>
          </cell>
        </row>
        <row r="227">
          <cell r="A227">
            <v>45883</v>
          </cell>
          <cell r="B227" t="str">
            <v>August</v>
          </cell>
        </row>
        <row r="228">
          <cell r="A228">
            <v>45884</v>
          </cell>
          <cell r="B228" t="str">
            <v>August</v>
          </cell>
        </row>
        <row r="229">
          <cell r="A229">
            <v>45885</v>
          </cell>
          <cell r="B229" t="str">
            <v>August</v>
          </cell>
        </row>
        <row r="230">
          <cell r="A230">
            <v>45886</v>
          </cell>
          <cell r="B230" t="str">
            <v>August</v>
          </cell>
        </row>
        <row r="231">
          <cell r="A231">
            <v>45887</v>
          </cell>
          <cell r="B231" t="str">
            <v>August</v>
          </cell>
        </row>
        <row r="232">
          <cell r="A232">
            <v>45888</v>
          </cell>
          <cell r="B232" t="str">
            <v>August</v>
          </cell>
        </row>
        <row r="233">
          <cell r="A233">
            <v>45889</v>
          </cell>
          <cell r="B233" t="str">
            <v>August</v>
          </cell>
        </row>
        <row r="234">
          <cell r="A234">
            <v>45890</v>
          </cell>
          <cell r="B234" t="str">
            <v>August</v>
          </cell>
        </row>
        <row r="235">
          <cell r="A235">
            <v>45891</v>
          </cell>
          <cell r="B235" t="str">
            <v>August</v>
          </cell>
        </row>
        <row r="236">
          <cell r="A236">
            <v>45892</v>
          </cell>
          <cell r="B236" t="str">
            <v>August</v>
          </cell>
        </row>
        <row r="237">
          <cell r="A237">
            <v>45893</v>
          </cell>
          <cell r="B237" t="str">
            <v>August</v>
          </cell>
        </row>
        <row r="238">
          <cell r="A238">
            <v>45894</v>
          </cell>
          <cell r="B238" t="str">
            <v>August</v>
          </cell>
        </row>
        <row r="239">
          <cell r="A239">
            <v>45895</v>
          </cell>
          <cell r="B239" t="str">
            <v>August</v>
          </cell>
        </row>
        <row r="240">
          <cell r="A240">
            <v>45896</v>
          </cell>
          <cell r="B240" t="str">
            <v>August</v>
          </cell>
        </row>
        <row r="241">
          <cell r="A241">
            <v>45897</v>
          </cell>
          <cell r="B241" t="str">
            <v>August</v>
          </cell>
        </row>
        <row r="242">
          <cell r="A242">
            <v>45898</v>
          </cell>
          <cell r="B242" t="str">
            <v>August</v>
          </cell>
        </row>
        <row r="243">
          <cell r="A243">
            <v>45899</v>
          </cell>
          <cell r="B243" t="str">
            <v>August</v>
          </cell>
        </row>
        <row r="244">
          <cell r="A244">
            <v>45900</v>
          </cell>
          <cell r="B244" t="str">
            <v>August</v>
          </cell>
        </row>
        <row r="245">
          <cell r="A245">
            <v>45901</v>
          </cell>
          <cell r="B245" t="str">
            <v>September</v>
          </cell>
        </row>
        <row r="246">
          <cell r="A246">
            <v>45902</v>
          </cell>
          <cell r="B246" t="str">
            <v>September</v>
          </cell>
        </row>
        <row r="247">
          <cell r="A247">
            <v>45903</v>
          </cell>
          <cell r="B247" t="str">
            <v>September</v>
          </cell>
        </row>
        <row r="248">
          <cell r="A248">
            <v>45904</v>
          </cell>
          <cell r="B248" t="str">
            <v>September</v>
          </cell>
        </row>
        <row r="249">
          <cell r="A249">
            <v>45905</v>
          </cell>
          <cell r="B249" t="str">
            <v>September</v>
          </cell>
        </row>
        <row r="250">
          <cell r="A250">
            <v>45906</v>
          </cell>
          <cell r="B250" t="str">
            <v>September</v>
          </cell>
        </row>
        <row r="251">
          <cell r="A251">
            <v>45907</v>
          </cell>
          <cell r="B251" t="str">
            <v>September</v>
          </cell>
        </row>
        <row r="252">
          <cell r="A252">
            <v>45908</v>
          </cell>
          <cell r="B252" t="str">
            <v>September</v>
          </cell>
        </row>
        <row r="253">
          <cell r="A253">
            <v>45909</v>
          </cell>
          <cell r="B253" t="str">
            <v>September</v>
          </cell>
        </row>
        <row r="254">
          <cell r="A254">
            <v>45910</v>
          </cell>
          <cell r="B254" t="str">
            <v>September</v>
          </cell>
        </row>
        <row r="255">
          <cell r="A255">
            <v>45911</v>
          </cell>
          <cell r="B255" t="str">
            <v>September</v>
          </cell>
        </row>
        <row r="256">
          <cell r="A256">
            <v>45912</v>
          </cell>
          <cell r="B256" t="str">
            <v>September</v>
          </cell>
        </row>
        <row r="257">
          <cell r="A257">
            <v>45913</v>
          </cell>
          <cell r="B257" t="str">
            <v>September</v>
          </cell>
        </row>
        <row r="258">
          <cell r="A258">
            <v>45914</v>
          </cell>
          <cell r="B258" t="str">
            <v>September</v>
          </cell>
        </row>
        <row r="259">
          <cell r="A259">
            <v>45915</v>
          </cell>
          <cell r="B259" t="str">
            <v>September</v>
          </cell>
        </row>
        <row r="260">
          <cell r="A260">
            <v>45916</v>
          </cell>
          <cell r="B260" t="str">
            <v>September</v>
          </cell>
        </row>
        <row r="261">
          <cell r="A261">
            <v>45917</v>
          </cell>
          <cell r="B261" t="str">
            <v>September</v>
          </cell>
        </row>
        <row r="262">
          <cell r="A262">
            <v>45918</v>
          </cell>
          <cell r="B262" t="str">
            <v>September</v>
          </cell>
        </row>
        <row r="263">
          <cell r="A263">
            <v>45919</v>
          </cell>
          <cell r="B263" t="str">
            <v>September</v>
          </cell>
        </row>
        <row r="264">
          <cell r="A264">
            <v>45920</v>
          </cell>
          <cell r="B264" t="str">
            <v>September</v>
          </cell>
        </row>
        <row r="265">
          <cell r="A265">
            <v>45921</v>
          </cell>
          <cell r="B265" t="str">
            <v>September</v>
          </cell>
        </row>
        <row r="266">
          <cell r="A266">
            <v>45922</v>
          </cell>
          <cell r="B266" t="str">
            <v>September</v>
          </cell>
        </row>
        <row r="267">
          <cell r="A267">
            <v>45923</v>
          </cell>
          <cell r="B267" t="str">
            <v>September</v>
          </cell>
        </row>
        <row r="268">
          <cell r="A268">
            <v>45924</v>
          </cell>
          <cell r="B268" t="str">
            <v>September</v>
          </cell>
        </row>
        <row r="269">
          <cell r="A269">
            <v>45925</v>
          </cell>
          <cell r="B269" t="str">
            <v>September</v>
          </cell>
        </row>
        <row r="270">
          <cell r="A270">
            <v>45926</v>
          </cell>
          <cell r="B270" t="str">
            <v>September</v>
          </cell>
        </row>
        <row r="271">
          <cell r="A271">
            <v>45927</v>
          </cell>
          <cell r="B271" t="str">
            <v>September</v>
          </cell>
        </row>
        <row r="272">
          <cell r="A272">
            <v>45928</v>
          </cell>
          <cell r="B272" t="str">
            <v>September</v>
          </cell>
        </row>
        <row r="273">
          <cell r="A273">
            <v>45929</v>
          </cell>
          <cell r="B273" t="str">
            <v>September</v>
          </cell>
        </row>
        <row r="274">
          <cell r="A274">
            <v>45930</v>
          </cell>
          <cell r="B274" t="str">
            <v>September</v>
          </cell>
        </row>
        <row r="275">
          <cell r="A275">
            <v>45931</v>
          </cell>
          <cell r="B275" t="str">
            <v>October</v>
          </cell>
        </row>
        <row r="276">
          <cell r="A276">
            <v>45932</v>
          </cell>
          <cell r="B276" t="str">
            <v>October</v>
          </cell>
        </row>
        <row r="277">
          <cell r="A277">
            <v>45933</v>
          </cell>
          <cell r="B277" t="str">
            <v>October</v>
          </cell>
        </row>
        <row r="278">
          <cell r="A278">
            <v>45934</v>
          </cell>
          <cell r="B278" t="str">
            <v>October</v>
          </cell>
        </row>
        <row r="279">
          <cell r="A279">
            <v>45935</v>
          </cell>
          <cell r="B279" t="str">
            <v>October</v>
          </cell>
        </row>
        <row r="280">
          <cell r="A280">
            <v>45936</v>
          </cell>
          <cell r="B280" t="str">
            <v>October</v>
          </cell>
        </row>
        <row r="281">
          <cell r="A281">
            <v>45937</v>
          </cell>
          <cell r="B281" t="str">
            <v>October</v>
          </cell>
        </row>
        <row r="282">
          <cell r="A282">
            <v>45938</v>
          </cell>
          <cell r="B282" t="str">
            <v>October</v>
          </cell>
        </row>
        <row r="283">
          <cell r="A283">
            <v>45939</v>
          </cell>
          <cell r="B283" t="str">
            <v>October</v>
          </cell>
        </row>
        <row r="284">
          <cell r="A284">
            <v>45940</v>
          </cell>
          <cell r="B284" t="str">
            <v>October</v>
          </cell>
        </row>
        <row r="285">
          <cell r="A285">
            <v>45941</v>
          </cell>
          <cell r="B285" t="str">
            <v>October</v>
          </cell>
        </row>
        <row r="286">
          <cell r="A286">
            <v>45942</v>
          </cell>
          <cell r="B286" t="str">
            <v>October</v>
          </cell>
        </row>
        <row r="287">
          <cell r="A287">
            <v>45943</v>
          </cell>
          <cell r="B287" t="str">
            <v>October</v>
          </cell>
        </row>
        <row r="288">
          <cell r="A288">
            <v>45944</v>
          </cell>
          <cell r="B288" t="str">
            <v>October</v>
          </cell>
        </row>
        <row r="289">
          <cell r="A289">
            <v>45945</v>
          </cell>
          <cell r="B289" t="str">
            <v>October</v>
          </cell>
        </row>
        <row r="290">
          <cell r="A290">
            <v>45946</v>
          </cell>
          <cell r="B290" t="str">
            <v>October</v>
          </cell>
        </row>
        <row r="291">
          <cell r="A291">
            <v>45947</v>
          </cell>
          <cell r="B291" t="str">
            <v>October</v>
          </cell>
        </row>
        <row r="292">
          <cell r="A292">
            <v>45948</v>
          </cell>
          <cell r="B292" t="str">
            <v>October</v>
          </cell>
        </row>
        <row r="293">
          <cell r="A293">
            <v>45949</v>
          </cell>
          <cell r="B293" t="str">
            <v>October</v>
          </cell>
        </row>
        <row r="294">
          <cell r="A294">
            <v>45950</v>
          </cell>
          <cell r="B294" t="str">
            <v>October</v>
          </cell>
        </row>
        <row r="295">
          <cell r="A295">
            <v>45951</v>
          </cell>
          <cell r="B295" t="str">
            <v>October</v>
          </cell>
        </row>
        <row r="296">
          <cell r="A296">
            <v>45952</v>
          </cell>
          <cell r="B296" t="str">
            <v>October</v>
          </cell>
        </row>
        <row r="297">
          <cell r="A297">
            <v>45953</v>
          </cell>
          <cell r="B297" t="str">
            <v>October</v>
          </cell>
        </row>
        <row r="298">
          <cell r="A298">
            <v>45954</v>
          </cell>
          <cell r="B298" t="str">
            <v>October</v>
          </cell>
        </row>
        <row r="299">
          <cell r="A299">
            <v>45955</v>
          </cell>
          <cell r="B299" t="str">
            <v>October</v>
          </cell>
        </row>
        <row r="300">
          <cell r="A300">
            <v>45956</v>
          </cell>
          <cell r="B300" t="str">
            <v>October</v>
          </cell>
        </row>
        <row r="301">
          <cell r="A301">
            <v>45957</v>
          </cell>
          <cell r="B301" t="str">
            <v>October</v>
          </cell>
        </row>
        <row r="302">
          <cell r="A302">
            <v>45958</v>
          </cell>
          <cell r="B302" t="str">
            <v>October</v>
          </cell>
        </row>
        <row r="303">
          <cell r="A303">
            <v>45959</v>
          </cell>
          <cell r="B303" t="str">
            <v>October</v>
          </cell>
        </row>
        <row r="304">
          <cell r="A304">
            <v>45960</v>
          </cell>
          <cell r="B304" t="str">
            <v>October</v>
          </cell>
        </row>
        <row r="305">
          <cell r="A305">
            <v>45961</v>
          </cell>
          <cell r="B305" t="str">
            <v>October</v>
          </cell>
        </row>
        <row r="306">
          <cell r="A306">
            <v>45962</v>
          </cell>
          <cell r="B306" t="str">
            <v>November</v>
          </cell>
        </row>
        <row r="307">
          <cell r="A307">
            <v>45963</v>
          </cell>
          <cell r="B307" t="str">
            <v>November</v>
          </cell>
        </row>
        <row r="308">
          <cell r="A308">
            <v>45964</v>
          </cell>
          <cell r="B308" t="str">
            <v>November</v>
          </cell>
        </row>
        <row r="309">
          <cell r="A309">
            <v>45965</v>
          </cell>
          <cell r="B309" t="str">
            <v>November</v>
          </cell>
        </row>
        <row r="310">
          <cell r="A310">
            <v>45966</v>
          </cell>
          <cell r="B310" t="str">
            <v>November</v>
          </cell>
        </row>
        <row r="311">
          <cell r="A311">
            <v>45967</v>
          </cell>
          <cell r="B311" t="str">
            <v>November</v>
          </cell>
        </row>
        <row r="312">
          <cell r="A312">
            <v>45968</v>
          </cell>
          <cell r="B312" t="str">
            <v>November</v>
          </cell>
        </row>
        <row r="313">
          <cell r="A313">
            <v>45969</v>
          </cell>
          <cell r="B313" t="str">
            <v>November</v>
          </cell>
        </row>
        <row r="314">
          <cell r="A314">
            <v>45970</v>
          </cell>
          <cell r="B314" t="str">
            <v>November</v>
          </cell>
        </row>
        <row r="315">
          <cell r="A315">
            <v>45971</v>
          </cell>
          <cell r="B315" t="str">
            <v>November</v>
          </cell>
        </row>
        <row r="316">
          <cell r="A316">
            <v>45972</v>
          </cell>
          <cell r="B316" t="str">
            <v>November</v>
          </cell>
        </row>
        <row r="317">
          <cell r="A317">
            <v>45973</v>
          </cell>
          <cell r="B317" t="str">
            <v>November</v>
          </cell>
        </row>
        <row r="318">
          <cell r="A318">
            <v>45974</v>
          </cell>
          <cell r="B318" t="str">
            <v>November</v>
          </cell>
        </row>
        <row r="319">
          <cell r="A319">
            <v>45975</v>
          </cell>
          <cell r="B319" t="str">
            <v>November</v>
          </cell>
        </row>
        <row r="320">
          <cell r="A320">
            <v>45976</v>
          </cell>
          <cell r="B320" t="str">
            <v>November</v>
          </cell>
        </row>
        <row r="321">
          <cell r="A321">
            <v>45977</v>
          </cell>
          <cell r="B321" t="str">
            <v>November</v>
          </cell>
        </row>
        <row r="322">
          <cell r="A322">
            <v>45978</v>
          </cell>
          <cell r="B322" t="str">
            <v>November</v>
          </cell>
        </row>
        <row r="323">
          <cell r="A323">
            <v>45979</v>
          </cell>
          <cell r="B323" t="str">
            <v>November</v>
          </cell>
        </row>
        <row r="324">
          <cell r="A324">
            <v>45980</v>
          </cell>
          <cell r="B324" t="str">
            <v>November</v>
          </cell>
        </row>
        <row r="325">
          <cell r="A325">
            <v>45981</v>
          </cell>
          <cell r="B325" t="str">
            <v>November</v>
          </cell>
        </row>
        <row r="326">
          <cell r="A326">
            <v>45982</v>
          </cell>
          <cell r="B326" t="str">
            <v>November</v>
          </cell>
        </row>
        <row r="327">
          <cell r="A327">
            <v>45983</v>
          </cell>
          <cell r="B327" t="str">
            <v>November</v>
          </cell>
        </row>
        <row r="328">
          <cell r="A328">
            <v>45984</v>
          </cell>
          <cell r="B328" t="str">
            <v>November</v>
          </cell>
        </row>
        <row r="329">
          <cell r="A329">
            <v>45985</v>
          </cell>
          <cell r="B329" t="str">
            <v>November</v>
          </cell>
        </row>
        <row r="330">
          <cell r="A330">
            <v>45986</v>
          </cell>
          <cell r="B330" t="str">
            <v>November</v>
          </cell>
        </row>
        <row r="331">
          <cell r="A331">
            <v>45987</v>
          </cell>
          <cell r="B331" t="str">
            <v>November</v>
          </cell>
        </row>
        <row r="332">
          <cell r="A332">
            <v>45988</v>
          </cell>
          <cell r="B332" t="str">
            <v>November</v>
          </cell>
        </row>
        <row r="333">
          <cell r="A333">
            <v>45989</v>
          </cell>
          <cell r="B333" t="str">
            <v>November</v>
          </cell>
        </row>
        <row r="334">
          <cell r="A334">
            <v>45990</v>
          </cell>
          <cell r="B334" t="str">
            <v>November</v>
          </cell>
        </row>
        <row r="335">
          <cell r="A335">
            <v>45991</v>
          </cell>
          <cell r="B335" t="str">
            <v>November</v>
          </cell>
        </row>
        <row r="336">
          <cell r="A336">
            <v>45992</v>
          </cell>
          <cell r="B336" t="str">
            <v>December</v>
          </cell>
        </row>
        <row r="337">
          <cell r="A337">
            <v>45993</v>
          </cell>
          <cell r="B337" t="str">
            <v>December</v>
          </cell>
        </row>
        <row r="338">
          <cell r="A338">
            <v>45994</v>
          </cell>
          <cell r="B338" t="str">
            <v>December</v>
          </cell>
        </row>
        <row r="339">
          <cell r="A339">
            <v>45995</v>
          </cell>
          <cell r="B339" t="str">
            <v>December</v>
          </cell>
        </row>
        <row r="340">
          <cell r="A340">
            <v>45996</v>
          </cell>
          <cell r="B340" t="str">
            <v>December</v>
          </cell>
        </row>
        <row r="341">
          <cell r="A341">
            <v>45997</v>
          </cell>
          <cell r="B341" t="str">
            <v>December</v>
          </cell>
        </row>
        <row r="342">
          <cell r="A342">
            <v>45998</v>
          </cell>
          <cell r="B342" t="str">
            <v>December</v>
          </cell>
        </row>
        <row r="343">
          <cell r="A343">
            <v>45999</v>
          </cell>
          <cell r="B343" t="str">
            <v>December</v>
          </cell>
        </row>
        <row r="344">
          <cell r="A344">
            <v>46000</v>
          </cell>
          <cell r="B344" t="str">
            <v>December</v>
          </cell>
        </row>
        <row r="345">
          <cell r="A345">
            <v>46001</v>
          </cell>
          <cell r="B345" t="str">
            <v>December</v>
          </cell>
        </row>
        <row r="346">
          <cell r="A346">
            <v>46002</v>
          </cell>
          <cell r="B346" t="str">
            <v>December</v>
          </cell>
        </row>
        <row r="347">
          <cell r="A347">
            <v>46003</v>
          </cell>
          <cell r="B347" t="str">
            <v>December</v>
          </cell>
        </row>
        <row r="348">
          <cell r="A348">
            <v>46004</v>
          </cell>
          <cell r="B348" t="str">
            <v>December</v>
          </cell>
        </row>
        <row r="349">
          <cell r="A349">
            <v>46005</v>
          </cell>
          <cell r="B349" t="str">
            <v>December</v>
          </cell>
        </row>
        <row r="350">
          <cell r="A350">
            <v>46006</v>
          </cell>
          <cell r="B350" t="str">
            <v>December</v>
          </cell>
        </row>
        <row r="351">
          <cell r="A351">
            <v>46007</v>
          </cell>
          <cell r="B351" t="str">
            <v>December</v>
          </cell>
        </row>
        <row r="352">
          <cell r="A352">
            <v>46008</v>
          </cell>
          <cell r="B352" t="str">
            <v>December</v>
          </cell>
        </row>
        <row r="353">
          <cell r="A353">
            <v>46009</v>
          </cell>
          <cell r="B353" t="str">
            <v>December</v>
          </cell>
        </row>
        <row r="354">
          <cell r="A354">
            <v>46010</v>
          </cell>
          <cell r="B354" t="str">
            <v>December</v>
          </cell>
        </row>
        <row r="355">
          <cell r="A355">
            <v>46011</v>
          </cell>
          <cell r="B355" t="str">
            <v>December</v>
          </cell>
        </row>
        <row r="356">
          <cell r="A356">
            <v>46012</v>
          </cell>
          <cell r="B356" t="str">
            <v>December</v>
          </cell>
        </row>
        <row r="357">
          <cell r="A357">
            <v>46013</v>
          </cell>
          <cell r="B357" t="str">
            <v>December</v>
          </cell>
        </row>
        <row r="358">
          <cell r="A358">
            <v>46014</v>
          </cell>
          <cell r="B358" t="str">
            <v>December</v>
          </cell>
        </row>
        <row r="359">
          <cell r="A359">
            <v>46015</v>
          </cell>
          <cell r="B359" t="str">
            <v>December</v>
          </cell>
        </row>
        <row r="360">
          <cell r="A360">
            <v>46016</v>
          </cell>
          <cell r="B360" t="str">
            <v>December</v>
          </cell>
        </row>
        <row r="361">
          <cell r="A361">
            <v>46017</v>
          </cell>
          <cell r="B361" t="str">
            <v>December</v>
          </cell>
        </row>
        <row r="362">
          <cell r="A362">
            <v>46018</v>
          </cell>
          <cell r="B362" t="str">
            <v>December</v>
          </cell>
        </row>
        <row r="363">
          <cell r="A363">
            <v>46019</v>
          </cell>
          <cell r="B363" t="str">
            <v>December</v>
          </cell>
        </row>
        <row r="364">
          <cell r="A364">
            <v>46020</v>
          </cell>
          <cell r="B364" t="str">
            <v>December</v>
          </cell>
        </row>
        <row r="365">
          <cell r="A365">
            <v>46021</v>
          </cell>
          <cell r="B365" t="str">
            <v>December</v>
          </cell>
        </row>
        <row r="366">
          <cell r="A366">
            <v>46022</v>
          </cell>
          <cell r="B366" t="str">
            <v>December</v>
          </cell>
        </row>
        <row r="367">
          <cell r="A367">
            <v>46023</v>
          </cell>
          <cell r="B367" t="str">
            <v>January</v>
          </cell>
        </row>
        <row r="368">
          <cell r="A368">
            <v>46024</v>
          </cell>
          <cell r="B368" t="str">
            <v>January</v>
          </cell>
        </row>
        <row r="369">
          <cell r="A369">
            <v>46025</v>
          </cell>
          <cell r="B369" t="str">
            <v>January</v>
          </cell>
        </row>
        <row r="370">
          <cell r="A370">
            <v>46026</v>
          </cell>
          <cell r="B370" t="str">
            <v>January</v>
          </cell>
        </row>
        <row r="371">
          <cell r="A371">
            <v>46027</v>
          </cell>
          <cell r="B371" t="str">
            <v>January</v>
          </cell>
        </row>
        <row r="372">
          <cell r="A372">
            <v>46028</v>
          </cell>
          <cell r="B372" t="str">
            <v>January</v>
          </cell>
        </row>
        <row r="373">
          <cell r="A373">
            <v>46029</v>
          </cell>
          <cell r="B373" t="str">
            <v>January</v>
          </cell>
        </row>
        <row r="374">
          <cell r="A374">
            <v>46030</v>
          </cell>
          <cell r="B374" t="str">
            <v>January</v>
          </cell>
        </row>
        <row r="375">
          <cell r="A375">
            <v>46031</v>
          </cell>
          <cell r="B375" t="str">
            <v>January</v>
          </cell>
        </row>
        <row r="376">
          <cell r="A376">
            <v>46032</v>
          </cell>
          <cell r="B376" t="str">
            <v>January</v>
          </cell>
        </row>
        <row r="377">
          <cell r="A377">
            <v>46033</v>
          </cell>
          <cell r="B377" t="str">
            <v>January</v>
          </cell>
        </row>
        <row r="378">
          <cell r="A378">
            <v>46034</v>
          </cell>
          <cell r="B378" t="str">
            <v>January</v>
          </cell>
        </row>
        <row r="379">
          <cell r="A379">
            <v>46035</v>
          </cell>
          <cell r="B379" t="str">
            <v>January</v>
          </cell>
        </row>
        <row r="380">
          <cell r="A380">
            <v>46036</v>
          </cell>
          <cell r="B380" t="str">
            <v>January</v>
          </cell>
        </row>
        <row r="381">
          <cell r="A381">
            <v>46037</v>
          </cell>
          <cell r="B381" t="str">
            <v>January</v>
          </cell>
        </row>
        <row r="382">
          <cell r="A382">
            <v>46038</v>
          </cell>
          <cell r="B382" t="str">
            <v>January</v>
          </cell>
        </row>
        <row r="383">
          <cell r="A383">
            <v>46039</v>
          </cell>
          <cell r="B383" t="str">
            <v>January</v>
          </cell>
        </row>
        <row r="384">
          <cell r="A384">
            <v>46040</v>
          </cell>
          <cell r="B384" t="str">
            <v>January</v>
          </cell>
        </row>
        <row r="385">
          <cell r="A385">
            <v>46041</v>
          </cell>
          <cell r="B385" t="str">
            <v>January</v>
          </cell>
        </row>
        <row r="386">
          <cell r="A386">
            <v>46042</v>
          </cell>
          <cell r="B386" t="str">
            <v>January</v>
          </cell>
        </row>
        <row r="387">
          <cell r="A387">
            <v>46043</v>
          </cell>
          <cell r="B387" t="str">
            <v>January</v>
          </cell>
        </row>
        <row r="388">
          <cell r="A388">
            <v>46044</v>
          </cell>
          <cell r="B388" t="str">
            <v>January</v>
          </cell>
        </row>
        <row r="389">
          <cell r="A389">
            <v>46045</v>
          </cell>
          <cell r="B389" t="str">
            <v>January</v>
          </cell>
        </row>
        <row r="390">
          <cell r="A390">
            <v>46046</v>
          </cell>
          <cell r="B390" t="str">
            <v>January</v>
          </cell>
        </row>
        <row r="391">
          <cell r="A391">
            <v>46047</v>
          </cell>
          <cell r="B391" t="str">
            <v>January</v>
          </cell>
        </row>
        <row r="392">
          <cell r="A392">
            <v>46048</v>
          </cell>
          <cell r="B392" t="str">
            <v>January</v>
          </cell>
        </row>
        <row r="393">
          <cell r="A393">
            <v>46049</v>
          </cell>
          <cell r="B393" t="str">
            <v>January</v>
          </cell>
        </row>
        <row r="394">
          <cell r="A394">
            <v>46050</v>
          </cell>
          <cell r="B394" t="str">
            <v>January</v>
          </cell>
        </row>
        <row r="395">
          <cell r="A395">
            <v>46051</v>
          </cell>
          <cell r="B395" t="str">
            <v>January</v>
          </cell>
        </row>
        <row r="396">
          <cell r="A396">
            <v>46052</v>
          </cell>
          <cell r="B396" t="str">
            <v>January</v>
          </cell>
        </row>
        <row r="397">
          <cell r="A397">
            <v>46053</v>
          </cell>
          <cell r="B397" t="str">
            <v>January</v>
          </cell>
        </row>
        <row r="398">
          <cell r="A398">
            <v>46054</v>
          </cell>
          <cell r="B398" t="str">
            <v>February</v>
          </cell>
        </row>
        <row r="399">
          <cell r="A399">
            <v>46055</v>
          </cell>
          <cell r="B399" t="str">
            <v>February</v>
          </cell>
        </row>
        <row r="400">
          <cell r="A400">
            <v>46056</v>
          </cell>
          <cell r="B400" t="str">
            <v>February</v>
          </cell>
        </row>
        <row r="401">
          <cell r="A401">
            <v>46057</v>
          </cell>
          <cell r="B401" t="str">
            <v>February</v>
          </cell>
        </row>
        <row r="402">
          <cell r="A402">
            <v>46058</v>
          </cell>
          <cell r="B402" t="str">
            <v>February</v>
          </cell>
        </row>
        <row r="403">
          <cell r="A403">
            <v>46059</v>
          </cell>
          <cell r="B403" t="str">
            <v>February</v>
          </cell>
        </row>
        <row r="404">
          <cell r="A404">
            <v>46060</v>
          </cell>
          <cell r="B404" t="str">
            <v>February</v>
          </cell>
        </row>
        <row r="405">
          <cell r="A405">
            <v>46061</v>
          </cell>
          <cell r="B405" t="str">
            <v>February</v>
          </cell>
        </row>
        <row r="406">
          <cell r="A406">
            <v>46062</v>
          </cell>
          <cell r="B406" t="str">
            <v>February</v>
          </cell>
        </row>
        <row r="407">
          <cell r="A407">
            <v>46063</v>
          </cell>
          <cell r="B407" t="str">
            <v>February</v>
          </cell>
        </row>
        <row r="408">
          <cell r="A408">
            <v>46064</v>
          </cell>
          <cell r="B408" t="str">
            <v>February</v>
          </cell>
        </row>
        <row r="409">
          <cell r="A409">
            <v>46065</v>
          </cell>
          <cell r="B409" t="str">
            <v>February</v>
          </cell>
        </row>
        <row r="410">
          <cell r="A410">
            <v>46066</v>
          </cell>
          <cell r="B410" t="str">
            <v>February</v>
          </cell>
        </row>
        <row r="411">
          <cell r="A411">
            <v>46067</v>
          </cell>
          <cell r="B411" t="str">
            <v>February</v>
          </cell>
        </row>
        <row r="412">
          <cell r="A412">
            <v>46068</v>
          </cell>
          <cell r="B412" t="str">
            <v>February</v>
          </cell>
        </row>
        <row r="413">
          <cell r="A413">
            <v>46069</v>
          </cell>
          <cell r="B413" t="str">
            <v>February</v>
          </cell>
        </row>
        <row r="414">
          <cell r="A414">
            <v>46070</v>
          </cell>
          <cell r="B414" t="str">
            <v>February</v>
          </cell>
        </row>
        <row r="415">
          <cell r="A415">
            <v>46071</v>
          </cell>
          <cell r="B415" t="str">
            <v>February</v>
          </cell>
        </row>
        <row r="416">
          <cell r="A416">
            <v>46072</v>
          </cell>
          <cell r="B416" t="str">
            <v>February</v>
          </cell>
        </row>
        <row r="417">
          <cell r="A417">
            <v>46073</v>
          </cell>
          <cell r="B417" t="str">
            <v>February</v>
          </cell>
        </row>
        <row r="418">
          <cell r="A418">
            <v>46074</v>
          </cell>
          <cell r="B418" t="str">
            <v>February</v>
          </cell>
        </row>
        <row r="419">
          <cell r="A419">
            <v>46075</v>
          </cell>
          <cell r="B419" t="str">
            <v>February</v>
          </cell>
        </row>
        <row r="420">
          <cell r="A420">
            <v>46076</v>
          </cell>
          <cell r="B420" t="str">
            <v>February</v>
          </cell>
        </row>
        <row r="421">
          <cell r="A421">
            <v>46077</v>
          </cell>
          <cell r="B421" t="str">
            <v>February</v>
          </cell>
        </row>
        <row r="422">
          <cell r="A422">
            <v>46078</v>
          </cell>
          <cell r="B422" t="str">
            <v>February</v>
          </cell>
        </row>
        <row r="423">
          <cell r="A423">
            <v>46079</v>
          </cell>
          <cell r="B423" t="str">
            <v>February</v>
          </cell>
        </row>
        <row r="424">
          <cell r="A424">
            <v>46080</v>
          </cell>
          <cell r="B424" t="str">
            <v>February</v>
          </cell>
        </row>
        <row r="425">
          <cell r="A425">
            <v>46081</v>
          </cell>
          <cell r="B425" t="str">
            <v>February</v>
          </cell>
        </row>
        <row r="426">
          <cell r="A426">
            <v>46082</v>
          </cell>
          <cell r="B426" t="str">
            <v>March</v>
          </cell>
        </row>
        <row r="427">
          <cell r="A427">
            <v>46083</v>
          </cell>
          <cell r="B427" t="str">
            <v>March</v>
          </cell>
        </row>
        <row r="428">
          <cell r="A428">
            <v>46084</v>
          </cell>
          <cell r="B428" t="str">
            <v>March</v>
          </cell>
        </row>
        <row r="429">
          <cell r="A429">
            <v>46085</v>
          </cell>
          <cell r="B429" t="str">
            <v>March</v>
          </cell>
        </row>
        <row r="430">
          <cell r="A430">
            <v>46086</v>
          </cell>
          <cell r="B430" t="str">
            <v>March</v>
          </cell>
        </row>
        <row r="431">
          <cell r="A431">
            <v>46087</v>
          </cell>
          <cell r="B431" t="str">
            <v>March</v>
          </cell>
        </row>
        <row r="432">
          <cell r="A432">
            <v>46088</v>
          </cell>
          <cell r="B432" t="str">
            <v>March</v>
          </cell>
        </row>
        <row r="433">
          <cell r="A433">
            <v>46089</v>
          </cell>
          <cell r="B433" t="str">
            <v>March</v>
          </cell>
        </row>
        <row r="434">
          <cell r="A434">
            <v>46090</v>
          </cell>
          <cell r="B434" t="str">
            <v>March</v>
          </cell>
        </row>
        <row r="435">
          <cell r="A435">
            <v>46091</v>
          </cell>
          <cell r="B435" t="str">
            <v>March</v>
          </cell>
        </row>
        <row r="436">
          <cell r="A436">
            <v>46092</v>
          </cell>
          <cell r="B436" t="str">
            <v>March</v>
          </cell>
        </row>
        <row r="437">
          <cell r="A437">
            <v>46093</v>
          </cell>
          <cell r="B437" t="str">
            <v>March</v>
          </cell>
        </row>
        <row r="438">
          <cell r="A438">
            <v>46094</v>
          </cell>
          <cell r="B438" t="str">
            <v>March</v>
          </cell>
        </row>
        <row r="439">
          <cell r="A439">
            <v>46095</v>
          </cell>
          <cell r="B439" t="str">
            <v>March</v>
          </cell>
        </row>
        <row r="440">
          <cell r="A440">
            <v>46096</v>
          </cell>
          <cell r="B440" t="str">
            <v>March</v>
          </cell>
        </row>
        <row r="441">
          <cell r="A441">
            <v>46097</v>
          </cell>
          <cell r="B441" t="str">
            <v>March</v>
          </cell>
        </row>
        <row r="442">
          <cell r="A442">
            <v>46098</v>
          </cell>
          <cell r="B442" t="str">
            <v>March</v>
          </cell>
        </row>
        <row r="443">
          <cell r="A443">
            <v>46099</v>
          </cell>
          <cell r="B443" t="str">
            <v>March</v>
          </cell>
        </row>
        <row r="444">
          <cell r="A444">
            <v>46100</v>
          </cell>
          <cell r="B444" t="str">
            <v>March</v>
          </cell>
        </row>
        <row r="445">
          <cell r="A445">
            <v>46101</v>
          </cell>
          <cell r="B445" t="str">
            <v>March</v>
          </cell>
        </row>
        <row r="446">
          <cell r="A446">
            <v>46102</v>
          </cell>
          <cell r="B446" t="str">
            <v>March</v>
          </cell>
        </row>
        <row r="447">
          <cell r="A447">
            <v>46103</v>
          </cell>
          <cell r="B447" t="str">
            <v>March</v>
          </cell>
        </row>
        <row r="448">
          <cell r="A448">
            <v>46104</v>
          </cell>
          <cell r="B448" t="str">
            <v>March</v>
          </cell>
        </row>
        <row r="449">
          <cell r="A449">
            <v>46105</v>
          </cell>
          <cell r="B449" t="str">
            <v>March</v>
          </cell>
        </row>
        <row r="450">
          <cell r="A450">
            <v>46106</v>
          </cell>
          <cell r="B450" t="str">
            <v>March</v>
          </cell>
        </row>
        <row r="451">
          <cell r="A451">
            <v>46107</v>
          </cell>
          <cell r="B451" t="str">
            <v>March</v>
          </cell>
        </row>
        <row r="452">
          <cell r="A452">
            <v>46108</v>
          </cell>
          <cell r="B452" t="str">
            <v>March</v>
          </cell>
        </row>
        <row r="453">
          <cell r="A453">
            <v>46109</v>
          </cell>
          <cell r="B453" t="str">
            <v>March</v>
          </cell>
        </row>
        <row r="454">
          <cell r="A454">
            <v>46110</v>
          </cell>
          <cell r="B454" t="str">
            <v>March</v>
          </cell>
        </row>
        <row r="455">
          <cell r="A455">
            <v>46111</v>
          </cell>
          <cell r="B455" t="str">
            <v>March</v>
          </cell>
        </row>
        <row r="456">
          <cell r="A456">
            <v>46112</v>
          </cell>
          <cell r="B456" t="str">
            <v>March</v>
          </cell>
        </row>
        <row r="457">
          <cell r="A457">
            <v>46113</v>
          </cell>
          <cell r="B457" t="str">
            <v>April</v>
          </cell>
        </row>
        <row r="458">
          <cell r="A458">
            <v>46114</v>
          </cell>
          <cell r="B458" t="str">
            <v>April</v>
          </cell>
        </row>
        <row r="459">
          <cell r="A459">
            <v>46115</v>
          </cell>
          <cell r="B459" t="str">
            <v>April</v>
          </cell>
        </row>
        <row r="460">
          <cell r="A460">
            <v>46116</v>
          </cell>
          <cell r="B460" t="str">
            <v>April</v>
          </cell>
        </row>
        <row r="461">
          <cell r="A461">
            <v>46117</v>
          </cell>
          <cell r="B461" t="str">
            <v>April</v>
          </cell>
        </row>
        <row r="462">
          <cell r="A462">
            <v>46118</v>
          </cell>
          <cell r="B462" t="str">
            <v>April</v>
          </cell>
        </row>
        <row r="463">
          <cell r="A463">
            <v>46119</v>
          </cell>
          <cell r="B463" t="str">
            <v>April</v>
          </cell>
        </row>
        <row r="464">
          <cell r="A464">
            <v>46120</v>
          </cell>
          <cell r="B464" t="str">
            <v>April</v>
          </cell>
        </row>
        <row r="465">
          <cell r="A465">
            <v>46121</v>
          </cell>
          <cell r="B465" t="str">
            <v>April</v>
          </cell>
        </row>
        <row r="466">
          <cell r="A466">
            <v>46122</v>
          </cell>
          <cell r="B466" t="str">
            <v>April</v>
          </cell>
        </row>
        <row r="467">
          <cell r="A467">
            <v>46123</v>
          </cell>
          <cell r="B467" t="str">
            <v>April</v>
          </cell>
        </row>
        <row r="468">
          <cell r="A468">
            <v>46124</v>
          </cell>
          <cell r="B468" t="str">
            <v>April</v>
          </cell>
        </row>
        <row r="469">
          <cell r="A469">
            <v>46125</v>
          </cell>
          <cell r="B469" t="str">
            <v>April</v>
          </cell>
        </row>
        <row r="470">
          <cell r="A470">
            <v>46126</v>
          </cell>
          <cell r="B470" t="str">
            <v>April</v>
          </cell>
        </row>
        <row r="471">
          <cell r="A471">
            <v>46127</v>
          </cell>
          <cell r="B471" t="str">
            <v>April</v>
          </cell>
        </row>
        <row r="472">
          <cell r="A472">
            <v>46128</v>
          </cell>
          <cell r="B472" t="str">
            <v>April</v>
          </cell>
        </row>
        <row r="473">
          <cell r="A473">
            <v>46129</v>
          </cell>
          <cell r="B473" t="str">
            <v>April</v>
          </cell>
        </row>
        <row r="474">
          <cell r="A474">
            <v>46130</v>
          </cell>
          <cell r="B474" t="str">
            <v>April</v>
          </cell>
        </row>
        <row r="475">
          <cell r="A475">
            <v>46131</v>
          </cell>
          <cell r="B475" t="str">
            <v>April</v>
          </cell>
        </row>
        <row r="476">
          <cell r="A476">
            <v>46132</v>
          </cell>
          <cell r="B476" t="str">
            <v>April</v>
          </cell>
        </row>
        <row r="477">
          <cell r="A477">
            <v>46133</v>
          </cell>
          <cell r="B477" t="str">
            <v>April</v>
          </cell>
        </row>
        <row r="478">
          <cell r="A478">
            <v>46134</v>
          </cell>
          <cell r="B478" t="str">
            <v>April</v>
          </cell>
        </row>
        <row r="479">
          <cell r="A479">
            <v>46135</v>
          </cell>
          <cell r="B479" t="str">
            <v>April</v>
          </cell>
        </row>
        <row r="480">
          <cell r="A480">
            <v>46136</v>
          </cell>
          <cell r="B480" t="str">
            <v>April</v>
          </cell>
        </row>
        <row r="481">
          <cell r="A481">
            <v>46137</v>
          </cell>
          <cell r="B481" t="str">
            <v>April</v>
          </cell>
        </row>
        <row r="482">
          <cell r="A482">
            <v>46138</v>
          </cell>
          <cell r="B482" t="str">
            <v>April</v>
          </cell>
        </row>
        <row r="483">
          <cell r="A483">
            <v>46139</v>
          </cell>
          <cell r="B483" t="str">
            <v>April</v>
          </cell>
        </row>
        <row r="484">
          <cell r="A484">
            <v>46140</v>
          </cell>
          <cell r="B484" t="str">
            <v>April</v>
          </cell>
        </row>
        <row r="485">
          <cell r="A485">
            <v>46141</v>
          </cell>
          <cell r="B485" t="str">
            <v>April</v>
          </cell>
        </row>
        <row r="486">
          <cell r="A486">
            <v>46142</v>
          </cell>
          <cell r="B486" t="str">
            <v>April</v>
          </cell>
        </row>
        <row r="487">
          <cell r="A487">
            <v>46143</v>
          </cell>
          <cell r="B487" t="str">
            <v>May</v>
          </cell>
        </row>
        <row r="488">
          <cell r="A488">
            <v>46144</v>
          </cell>
          <cell r="B488" t="str">
            <v>May</v>
          </cell>
        </row>
        <row r="489">
          <cell r="A489">
            <v>46145</v>
          </cell>
          <cell r="B489" t="str">
            <v>May</v>
          </cell>
        </row>
        <row r="490">
          <cell r="A490">
            <v>46146</v>
          </cell>
          <cell r="B490" t="str">
            <v>May</v>
          </cell>
        </row>
        <row r="491">
          <cell r="A491">
            <v>46147</v>
          </cell>
          <cell r="B491" t="str">
            <v>May</v>
          </cell>
        </row>
        <row r="492">
          <cell r="A492">
            <v>46148</v>
          </cell>
          <cell r="B492" t="str">
            <v>May</v>
          </cell>
        </row>
        <row r="493">
          <cell r="A493">
            <v>46149</v>
          </cell>
          <cell r="B493" t="str">
            <v>May</v>
          </cell>
        </row>
        <row r="494">
          <cell r="A494">
            <v>46150</v>
          </cell>
          <cell r="B494" t="str">
            <v>May</v>
          </cell>
        </row>
        <row r="495">
          <cell r="A495">
            <v>46151</v>
          </cell>
          <cell r="B495" t="str">
            <v>May</v>
          </cell>
        </row>
        <row r="496">
          <cell r="A496">
            <v>46152</v>
          </cell>
          <cell r="B496" t="str">
            <v>May</v>
          </cell>
        </row>
        <row r="497">
          <cell r="A497">
            <v>46153</v>
          </cell>
          <cell r="B497" t="str">
            <v>May</v>
          </cell>
        </row>
        <row r="498">
          <cell r="A498">
            <v>46154</v>
          </cell>
          <cell r="B498" t="str">
            <v>May</v>
          </cell>
        </row>
        <row r="499">
          <cell r="A499">
            <v>46155</v>
          </cell>
          <cell r="B499" t="str">
            <v>May</v>
          </cell>
        </row>
        <row r="500">
          <cell r="A500">
            <v>46156</v>
          </cell>
          <cell r="B500" t="str">
            <v>May</v>
          </cell>
        </row>
        <row r="501">
          <cell r="A501">
            <v>46157</v>
          </cell>
          <cell r="B501" t="str">
            <v>May</v>
          </cell>
        </row>
        <row r="502">
          <cell r="A502">
            <v>46158</v>
          </cell>
          <cell r="B502" t="str">
            <v>May</v>
          </cell>
        </row>
        <row r="503">
          <cell r="A503">
            <v>46159</v>
          </cell>
          <cell r="B503" t="str">
            <v>May</v>
          </cell>
        </row>
        <row r="504">
          <cell r="A504">
            <v>46160</v>
          </cell>
          <cell r="B504" t="str">
            <v>May</v>
          </cell>
        </row>
        <row r="505">
          <cell r="A505">
            <v>46161</v>
          </cell>
          <cell r="B505" t="str">
            <v>May</v>
          </cell>
        </row>
        <row r="506">
          <cell r="A506">
            <v>46162</v>
          </cell>
          <cell r="B506" t="str">
            <v>May</v>
          </cell>
        </row>
        <row r="507">
          <cell r="A507">
            <v>46163</v>
          </cell>
          <cell r="B507" t="str">
            <v>May</v>
          </cell>
        </row>
        <row r="508">
          <cell r="A508">
            <v>46164</v>
          </cell>
          <cell r="B508" t="str">
            <v>May</v>
          </cell>
        </row>
        <row r="509">
          <cell r="A509">
            <v>46165</v>
          </cell>
          <cell r="B509" t="str">
            <v>May</v>
          </cell>
        </row>
        <row r="510">
          <cell r="A510">
            <v>46166</v>
          </cell>
          <cell r="B510" t="str">
            <v>May</v>
          </cell>
        </row>
        <row r="511">
          <cell r="A511">
            <v>46167</v>
          </cell>
          <cell r="B511" t="str">
            <v>May</v>
          </cell>
        </row>
        <row r="512">
          <cell r="A512">
            <v>46168</v>
          </cell>
          <cell r="B512" t="str">
            <v>May</v>
          </cell>
        </row>
        <row r="513">
          <cell r="A513">
            <v>46169</v>
          </cell>
          <cell r="B513" t="str">
            <v>May</v>
          </cell>
        </row>
        <row r="514">
          <cell r="A514">
            <v>46170</v>
          </cell>
          <cell r="B514" t="str">
            <v>May</v>
          </cell>
        </row>
        <row r="515">
          <cell r="A515">
            <v>46171</v>
          </cell>
          <cell r="B515" t="str">
            <v>May</v>
          </cell>
        </row>
        <row r="516">
          <cell r="A516">
            <v>46172</v>
          </cell>
          <cell r="B516" t="str">
            <v>May</v>
          </cell>
        </row>
        <row r="517">
          <cell r="A517">
            <v>46173</v>
          </cell>
          <cell r="B517" t="str">
            <v>May</v>
          </cell>
        </row>
        <row r="518">
          <cell r="A518">
            <v>46174</v>
          </cell>
          <cell r="B518" t="str">
            <v>June</v>
          </cell>
        </row>
        <row r="519">
          <cell r="A519">
            <v>46175</v>
          </cell>
          <cell r="B519" t="str">
            <v>June</v>
          </cell>
        </row>
        <row r="520">
          <cell r="A520">
            <v>46176</v>
          </cell>
          <cell r="B520" t="str">
            <v>June</v>
          </cell>
        </row>
        <row r="521">
          <cell r="A521">
            <v>46177</v>
          </cell>
          <cell r="B521" t="str">
            <v>June</v>
          </cell>
        </row>
        <row r="522">
          <cell r="A522">
            <v>46178</v>
          </cell>
          <cell r="B522" t="str">
            <v>June</v>
          </cell>
        </row>
        <row r="523">
          <cell r="A523">
            <v>46179</v>
          </cell>
          <cell r="B523" t="str">
            <v>June</v>
          </cell>
        </row>
        <row r="524">
          <cell r="A524">
            <v>46180</v>
          </cell>
          <cell r="B524" t="str">
            <v>June</v>
          </cell>
        </row>
        <row r="525">
          <cell r="A525">
            <v>46181</v>
          </cell>
          <cell r="B525" t="str">
            <v>June</v>
          </cell>
        </row>
        <row r="526">
          <cell r="A526">
            <v>46182</v>
          </cell>
          <cell r="B526" t="str">
            <v>June</v>
          </cell>
        </row>
        <row r="527">
          <cell r="A527">
            <v>46183</v>
          </cell>
          <cell r="B527" t="str">
            <v>June</v>
          </cell>
        </row>
        <row r="528">
          <cell r="A528">
            <v>46184</v>
          </cell>
          <cell r="B528" t="str">
            <v>June</v>
          </cell>
        </row>
        <row r="529">
          <cell r="A529">
            <v>46185</v>
          </cell>
          <cell r="B529" t="str">
            <v>June</v>
          </cell>
        </row>
        <row r="530">
          <cell r="A530">
            <v>46186</v>
          </cell>
          <cell r="B530" t="str">
            <v>June</v>
          </cell>
        </row>
        <row r="531">
          <cell r="A531">
            <v>46187</v>
          </cell>
          <cell r="B531" t="str">
            <v>June</v>
          </cell>
        </row>
        <row r="532">
          <cell r="A532">
            <v>46188</v>
          </cell>
          <cell r="B532" t="str">
            <v>June</v>
          </cell>
        </row>
        <row r="533">
          <cell r="A533">
            <v>46189</v>
          </cell>
          <cell r="B533" t="str">
            <v>June</v>
          </cell>
        </row>
        <row r="534">
          <cell r="A534">
            <v>46190</v>
          </cell>
          <cell r="B534" t="str">
            <v>June</v>
          </cell>
        </row>
        <row r="535">
          <cell r="A535">
            <v>46191</v>
          </cell>
          <cell r="B535" t="str">
            <v>June</v>
          </cell>
        </row>
        <row r="536">
          <cell r="A536">
            <v>46192</v>
          </cell>
          <cell r="B536" t="str">
            <v>June</v>
          </cell>
        </row>
        <row r="537">
          <cell r="A537">
            <v>46193</v>
          </cell>
          <cell r="B537" t="str">
            <v>June</v>
          </cell>
        </row>
        <row r="538">
          <cell r="A538">
            <v>46194</v>
          </cell>
          <cell r="B538" t="str">
            <v>June</v>
          </cell>
        </row>
        <row r="539">
          <cell r="A539">
            <v>46195</v>
          </cell>
          <cell r="B539" t="str">
            <v>June</v>
          </cell>
        </row>
        <row r="540">
          <cell r="A540">
            <v>46196</v>
          </cell>
          <cell r="B540" t="str">
            <v>June</v>
          </cell>
        </row>
        <row r="541">
          <cell r="A541">
            <v>46197</v>
          </cell>
          <cell r="B541" t="str">
            <v>June</v>
          </cell>
        </row>
        <row r="542">
          <cell r="A542">
            <v>46198</v>
          </cell>
          <cell r="B542" t="str">
            <v>June</v>
          </cell>
        </row>
        <row r="543">
          <cell r="A543">
            <v>46199</v>
          </cell>
          <cell r="B543" t="str">
            <v>June</v>
          </cell>
        </row>
        <row r="544">
          <cell r="A544">
            <v>46200</v>
          </cell>
          <cell r="B544" t="str">
            <v>June</v>
          </cell>
        </row>
        <row r="545">
          <cell r="A545">
            <v>46201</v>
          </cell>
          <cell r="B545" t="str">
            <v>June</v>
          </cell>
        </row>
        <row r="546">
          <cell r="A546">
            <v>46202</v>
          </cell>
          <cell r="B546" t="str">
            <v>June</v>
          </cell>
        </row>
        <row r="547">
          <cell r="A547">
            <v>46203</v>
          </cell>
          <cell r="B547" t="str">
            <v>June</v>
          </cell>
        </row>
        <row r="548">
          <cell r="A548">
            <v>46204</v>
          </cell>
          <cell r="B548" t="str">
            <v>July</v>
          </cell>
        </row>
        <row r="549">
          <cell r="A549">
            <v>46205</v>
          </cell>
          <cell r="B549" t="str">
            <v>July</v>
          </cell>
        </row>
        <row r="550">
          <cell r="A550">
            <v>46206</v>
          </cell>
          <cell r="B550" t="str">
            <v>July</v>
          </cell>
        </row>
        <row r="551">
          <cell r="A551">
            <v>46207</v>
          </cell>
          <cell r="B551" t="str">
            <v>July</v>
          </cell>
        </row>
        <row r="552">
          <cell r="A552">
            <v>46208</v>
          </cell>
          <cell r="B552" t="str">
            <v>July</v>
          </cell>
        </row>
        <row r="553">
          <cell r="A553">
            <v>46209</v>
          </cell>
          <cell r="B553" t="str">
            <v>July</v>
          </cell>
        </row>
        <row r="554">
          <cell r="A554">
            <v>46210</v>
          </cell>
          <cell r="B554" t="str">
            <v>July</v>
          </cell>
        </row>
        <row r="555">
          <cell r="A555">
            <v>46211</v>
          </cell>
          <cell r="B555" t="str">
            <v>July</v>
          </cell>
        </row>
        <row r="556">
          <cell r="A556">
            <v>46212</v>
          </cell>
          <cell r="B556" t="str">
            <v>July</v>
          </cell>
        </row>
        <row r="557">
          <cell r="A557">
            <v>46213</v>
          </cell>
          <cell r="B557" t="str">
            <v>July</v>
          </cell>
        </row>
        <row r="558">
          <cell r="A558">
            <v>46214</v>
          </cell>
          <cell r="B558" t="str">
            <v>July</v>
          </cell>
        </row>
        <row r="559">
          <cell r="A559">
            <v>46215</v>
          </cell>
          <cell r="B559" t="str">
            <v>July</v>
          </cell>
        </row>
        <row r="560">
          <cell r="A560">
            <v>46216</v>
          </cell>
          <cell r="B560" t="str">
            <v>July</v>
          </cell>
        </row>
        <row r="561">
          <cell r="A561">
            <v>46217</v>
          </cell>
          <cell r="B561" t="str">
            <v>July</v>
          </cell>
        </row>
        <row r="562">
          <cell r="A562">
            <v>46218</v>
          </cell>
          <cell r="B562" t="str">
            <v>July</v>
          </cell>
        </row>
        <row r="563">
          <cell r="A563">
            <v>46219</v>
          </cell>
          <cell r="B563" t="str">
            <v>July</v>
          </cell>
        </row>
        <row r="564">
          <cell r="A564">
            <v>46220</v>
          </cell>
          <cell r="B564" t="str">
            <v>July</v>
          </cell>
        </row>
        <row r="565">
          <cell r="A565">
            <v>46221</v>
          </cell>
          <cell r="B565" t="str">
            <v>July</v>
          </cell>
        </row>
        <row r="566">
          <cell r="A566">
            <v>46222</v>
          </cell>
          <cell r="B566" t="str">
            <v>July</v>
          </cell>
        </row>
        <row r="567">
          <cell r="A567">
            <v>46223</v>
          </cell>
          <cell r="B567" t="str">
            <v>July</v>
          </cell>
        </row>
        <row r="568">
          <cell r="A568">
            <v>46224</v>
          </cell>
          <cell r="B568" t="str">
            <v>July</v>
          </cell>
        </row>
        <row r="569">
          <cell r="A569">
            <v>46225</v>
          </cell>
          <cell r="B569" t="str">
            <v>July</v>
          </cell>
        </row>
        <row r="570">
          <cell r="A570">
            <v>46226</v>
          </cell>
          <cell r="B570" t="str">
            <v>July</v>
          </cell>
        </row>
        <row r="571">
          <cell r="A571">
            <v>46227</v>
          </cell>
          <cell r="B571" t="str">
            <v>July</v>
          </cell>
        </row>
        <row r="572">
          <cell r="A572">
            <v>46228</v>
          </cell>
          <cell r="B572" t="str">
            <v>July</v>
          </cell>
        </row>
        <row r="573">
          <cell r="A573">
            <v>46229</v>
          </cell>
          <cell r="B573" t="str">
            <v>July</v>
          </cell>
        </row>
        <row r="574">
          <cell r="A574">
            <v>46230</v>
          </cell>
          <cell r="B574" t="str">
            <v>July</v>
          </cell>
        </row>
        <row r="575">
          <cell r="A575">
            <v>46231</v>
          </cell>
          <cell r="B575" t="str">
            <v>July</v>
          </cell>
        </row>
        <row r="576">
          <cell r="A576">
            <v>46232</v>
          </cell>
          <cell r="B576" t="str">
            <v>July</v>
          </cell>
        </row>
        <row r="577">
          <cell r="A577">
            <v>46233</v>
          </cell>
          <cell r="B577" t="str">
            <v>July</v>
          </cell>
        </row>
        <row r="578">
          <cell r="A578">
            <v>46234</v>
          </cell>
          <cell r="B578" t="str">
            <v>July</v>
          </cell>
        </row>
        <row r="579">
          <cell r="A579">
            <v>46235</v>
          </cell>
          <cell r="B579" t="str">
            <v>August</v>
          </cell>
        </row>
        <row r="580">
          <cell r="A580">
            <v>46236</v>
          </cell>
          <cell r="B580" t="str">
            <v>August</v>
          </cell>
        </row>
        <row r="581">
          <cell r="A581">
            <v>46237</v>
          </cell>
          <cell r="B581" t="str">
            <v>August</v>
          </cell>
        </row>
        <row r="582">
          <cell r="A582">
            <v>46238</v>
          </cell>
          <cell r="B582" t="str">
            <v>August</v>
          </cell>
        </row>
        <row r="583">
          <cell r="A583">
            <v>46239</v>
          </cell>
          <cell r="B583" t="str">
            <v>August</v>
          </cell>
        </row>
        <row r="584">
          <cell r="A584">
            <v>46240</v>
          </cell>
          <cell r="B584" t="str">
            <v>August</v>
          </cell>
        </row>
        <row r="585">
          <cell r="A585">
            <v>46241</v>
          </cell>
          <cell r="B585" t="str">
            <v>August</v>
          </cell>
        </row>
        <row r="586">
          <cell r="A586">
            <v>46242</v>
          </cell>
          <cell r="B586" t="str">
            <v>August</v>
          </cell>
        </row>
        <row r="587">
          <cell r="A587">
            <v>46243</v>
          </cell>
          <cell r="B587" t="str">
            <v>August</v>
          </cell>
        </row>
        <row r="588">
          <cell r="A588">
            <v>46244</v>
          </cell>
          <cell r="B588" t="str">
            <v>August</v>
          </cell>
        </row>
        <row r="589">
          <cell r="A589">
            <v>46245</v>
          </cell>
          <cell r="B589" t="str">
            <v>August</v>
          </cell>
        </row>
        <row r="590">
          <cell r="A590">
            <v>46246</v>
          </cell>
          <cell r="B590" t="str">
            <v>August</v>
          </cell>
        </row>
        <row r="591">
          <cell r="A591">
            <v>46247</v>
          </cell>
          <cell r="B591" t="str">
            <v>August</v>
          </cell>
        </row>
        <row r="592">
          <cell r="A592">
            <v>46248</v>
          </cell>
          <cell r="B592" t="str">
            <v>August</v>
          </cell>
        </row>
        <row r="593">
          <cell r="A593">
            <v>46249</v>
          </cell>
          <cell r="B593" t="str">
            <v>August</v>
          </cell>
        </row>
        <row r="594">
          <cell r="A594">
            <v>46250</v>
          </cell>
          <cell r="B594" t="str">
            <v>August</v>
          </cell>
        </row>
        <row r="595">
          <cell r="A595">
            <v>46251</v>
          </cell>
          <cell r="B595" t="str">
            <v>August</v>
          </cell>
        </row>
        <row r="596">
          <cell r="A596">
            <v>46252</v>
          </cell>
          <cell r="B596" t="str">
            <v>August</v>
          </cell>
        </row>
        <row r="597">
          <cell r="A597">
            <v>46253</v>
          </cell>
          <cell r="B597" t="str">
            <v>August</v>
          </cell>
        </row>
        <row r="598">
          <cell r="A598">
            <v>46254</v>
          </cell>
          <cell r="B598" t="str">
            <v>August</v>
          </cell>
        </row>
        <row r="599">
          <cell r="A599">
            <v>46255</v>
          </cell>
          <cell r="B599" t="str">
            <v>August</v>
          </cell>
        </row>
        <row r="600">
          <cell r="A600">
            <v>46256</v>
          </cell>
          <cell r="B600" t="str">
            <v>August</v>
          </cell>
        </row>
        <row r="601">
          <cell r="A601">
            <v>46257</v>
          </cell>
          <cell r="B601" t="str">
            <v>August</v>
          </cell>
        </row>
        <row r="602">
          <cell r="A602">
            <v>46258</v>
          </cell>
          <cell r="B602" t="str">
            <v>August</v>
          </cell>
        </row>
        <row r="603">
          <cell r="A603">
            <v>46259</v>
          </cell>
          <cell r="B603" t="str">
            <v>August</v>
          </cell>
        </row>
        <row r="604">
          <cell r="A604">
            <v>46260</v>
          </cell>
          <cell r="B604" t="str">
            <v>August</v>
          </cell>
        </row>
        <row r="605">
          <cell r="A605">
            <v>46261</v>
          </cell>
          <cell r="B605" t="str">
            <v>August</v>
          </cell>
        </row>
        <row r="606">
          <cell r="A606">
            <v>46262</v>
          </cell>
          <cell r="B606" t="str">
            <v>August</v>
          </cell>
        </row>
        <row r="607">
          <cell r="A607">
            <v>46263</v>
          </cell>
          <cell r="B607" t="str">
            <v>August</v>
          </cell>
        </row>
        <row r="608">
          <cell r="A608">
            <v>46264</v>
          </cell>
          <cell r="B608" t="str">
            <v>August</v>
          </cell>
        </row>
        <row r="609">
          <cell r="A609">
            <v>46265</v>
          </cell>
          <cell r="B609" t="str">
            <v>August</v>
          </cell>
        </row>
        <row r="610">
          <cell r="A610">
            <v>46266</v>
          </cell>
          <cell r="B610" t="str">
            <v>September</v>
          </cell>
        </row>
        <row r="611">
          <cell r="A611">
            <v>46267</v>
          </cell>
          <cell r="B611" t="str">
            <v>September</v>
          </cell>
        </row>
        <row r="612">
          <cell r="A612">
            <v>46268</v>
          </cell>
          <cell r="B612" t="str">
            <v>September</v>
          </cell>
        </row>
        <row r="613">
          <cell r="A613">
            <v>46269</v>
          </cell>
          <cell r="B613" t="str">
            <v>September</v>
          </cell>
        </row>
        <row r="614">
          <cell r="A614">
            <v>46270</v>
          </cell>
          <cell r="B614" t="str">
            <v>September</v>
          </cell>
        </row>
        <row r="615">
          <cell r="A615">
            <v>46271</v>
          </cell>
          <cell r="B615" t="str">
            <v>September</v>
          </cell>
        </row>
        <row r="616">
          <cell r="A616">
            <v>46272</v>
          </cell>
          <cell r="B616" t="str">
            <v>September</v>
          </cell>
        </row>
        <row r="617">
          <cell r="A617">
            <v>46273</v>
          </cell>
          <cell r="B617" t="str">
            <v>September</v>
          </cell>
        </row>
        <row r="618">
          <cell r="A618">
            <v>46274</v>
          </cell>
          <cell r="B618" t="str">
            <v>September</v>
          </cell>
        </row>
        <row r="619">
          <cell r="A619">
            <v>46275</v>
          </cell>
          <cell r="B619" t="str">
            <v>September</v>
          </cell>
        </row>
        <row r="620">
          <cell r="A620">
            <v>46276</v>
          </cell>
          <cell r="B620" t="str">
            <v>September</v>
          </cell>
        </row>
        <row r="621">
          <cell r="A621">
            <v>46277</v>
          </cell>
          <cell r="B621" t="str">
            <v>September</v>
          </cell>
        </row>
        <row r="622">
          <cell r="A622">
            <v>46278</v>
          </cell>
          <cell r="B622" t="str">
            <v>September</v>
          </cell>
        </row>
        <row r="623">
          <cell r="A623">
            <v>46279</v>
          </cell>
          <cell r="B623" t="str">
            <v>September</v>
          </cell>
        </row>
        <row r="624">
          <cell r="A624">
            <v>46280</v>
          </cell>
          <cell r="B624" t="str">
            <v>September</v>
          </cell>
        </row>
        <row r="625">
          <cell r="A625">
            <v>46281</v>
          </cell>
          <cell r="B625" t="str">
            <v>September</v>
          </cell>
        </row>
        <row r="626">
          <cell r="A626">
            <v>46282</v>
          </cell>
          <cell r="B626" t="str">
            <v>September</v>
          </cell>
        </row>
        <row r="627">
          <cell r="A627">
            <v>46283</v>
          </cell>
          <cell r="B627" t="str">
            <v>September</v>
          </cell>
        </row>
        <row r="628">
          <cell r="A628">
            <v>46284</v>
          </cell>
          <cell r="B628" t="str">
            <v>September</v>
          </cell>
        </row>
        <row r="629">
          <cell r="A629">
            <v>46285</v>
          </cell>
          <cell r="B629" t="str">
            <v>September</v>
          </cell>
        </row>
        <row r="630">
          <cell r="A630">
            <v>46286</v>
          </cell>
          <cell r="B630" t="str">
            <v>September</v>
          </cell>
        </row>
        <row r="631">
          <cell r="A631">
            <v>46287</v>
          </cell>
          <cell r="B631" t="str">
            <v>September</v>
          </cell>
        </row>
        <row r="632">
          <cell r="A632">
            <v>46288</v>
          </cell>
          <cell r="B632" t="str">
            <v>September</v>
          </cell>
        </row>
        <row r="633">
          <cell r="A633">
            <v>46289</v>
          </cell>
          <cell r="B633" t="str">
            <v>September</v>
          </cell>
        </row>
        <row r="634">
          <cell r="A634">
            <v>46290</v>
          </cell>
          <cell r="B634" t="str">
            <v>September</v>
          </cell>
        </row>
        <row r="635">
          <cell r="A635">
            <v>46291</v>
          </cell>
          <cell r="B635" t="str">
            <v>September</v>
          </cell>
        </row>
        <row r="636">
          <cell r="A636">
            <v>46292</v>
          </cell>
          <cell r="B636" t="str">
            <v>September</v>
          </cell>
        </row>
        <row r="637">
          <cell r="A637">
            <v>46293</v>
          </cell>
          <cell r="B637" t="str">
            <v>September</v>
          </cell>
        </row>
        <row r="638">
          <cell r="A638">
            <v>46294</v>
          </cell>
          <cell r="B638" t="str">
            <v>September</v>
          </cell>
        </row>
        <row r="639">
          <cell r="A639">
            <v>46295</v>
          </cell>
          <cell r="B639" t="str">
            <v>September</v>
          </cell>
        </row>
        <row r="640">
          <cell r="A640">
            <v>46296</v>
          </cell>
          <cell r="B640" t="str">
            <v>October</v>
          </cell>
        </row>
        <row r="641">
          <cell r="A641">
            <v>46297</v>
          </cell>
          <cell r="B641" t="str">
            <v>October</v>
          </cell>
        </row>
        <row r="642">
          <cell r="A642">
            <v>46298</v>
          </cell>
          <cell r="B642" t="str">
            <v>October</v>
          </cell>
        </row>
        <row r="643">
          <cell r="A643">
            <v>46299</v>
          </cell>
          <cell r="B643" t="str">
            <v>October</v>
          </cell>
        </row>
        <row r="644">
          <cell r="A644">
            <v>46300</v>
          </cell>
          <cell r="B644" t="str">
            <v>October</v>
          </cell>
        </row>
        <row r="645">
          <cell r="A645">
            <v>46301</v>
          </cell>
          <cell r="B645" t="str">
            <v>October</v>
          </cell>
        </row>
        <row r="646">
          <cell r="A646">
            <v>46302</v>
          </cell>
          <cell r="B646" t="str">
            <v>October</v>
          </cell>
        </row>
        <row r="647">
          <cell r="A647">
            <v>46303</v>
          </cell>
          <cell r="B647" t="str">
            <v>October</v>
          </cell>
        </row>
        <row r="648">
          <cell r="A648">
            <v>46304</v>
          </cell>
          <cell r="B648" t="str">
            <v>October</v>
          </cell>
        </row>
        <row r="649">
          <cell r="A649">
            <v>46305</v>
          </cell>
          <cell r="B649" t="str">
            <v>October</v>
          </cell>
        </row>
        <row r="650">
          <cell r="A650">
            <v>46306</v>
          </cell>
          <cell r="B650" t="str">
            <v>October</v>
          </cell>
        </row>
        <row r="651">
          <cell r="A651">
            <v>46307</v>
          </cell>
          <cell r="B651" t="str">
            <v>October</v>
          </cell>
        </row>
        <row r="652">
          <cell r="A652">
            <v>46308</v>
          </cell>
          <cell r="B652" t="str">
            <v>October</v>
          </cell>
        </row>
        <row r="653">
          <cell r="A653">
            <v>46309</v>
          </cell>
          <cell r="B653" t="str">
            <v>October</v>
          </cell>
        </row>
        <row r="654">
          <cell r="A654">
            <v>46310</v>
          </cell>
          <cell r="B654" t="str">
            <v>October</v>
          </cell>
        </row>
        <row r="655">
          <cell r="A655">
            <v>46311</v>
          </cell>
          <cell r="B655" t="str">
            <v>October</v>
          </cell>
        </row>
        <row r="656">
          <cell r="A656">
            <v>46312</v>
          </cell>
          <cell r="B656" t="str">
            <v>October</v>
          </cell>
        </row>
        <row r="657">
          <cell r="A657">
            <v>46313</v>
          </cell>
          <cell r="B657" t="str">
            <v>October</v>
          </cell>
        </row>
        <row r="658">
          <cell r="A658">
            <v>46314</v>
          </cell>
          <cell r="B658" t="str">
            <v>October</v>
          </cell>
        </row>
        <row r="659">
          <cell r="A659">
            <v>46315</v>
          </cell>
          <cell r="B659" t="str">
            <v>October</v>
          </cell>
        </row>
        <row r="660">
          <cell r="A660">
            <v>46316</v>
          </cell>
          <cell r="B660" t="str">
            <v>October</v>
          </cell>
        </row>
        <row r="661">
          <cell r="A661">
            <v>46317</v>
          </cell>
          <cell r="B661" t="str">
            <v>October</v>
          </cell>
        </row>
        <row r="662">
          <cell r="A662">
            <v>46318</v>
          </cell>
          <cell r="B662" t="str">
            <v>October</v>
          </cell>
        </row>
        <row r="663">
          <cell r="A663">
            <v>46319</v>
          </cell>
          <cell r="B663" t="str">
            <v>October</v>
          </cell>
        </row>
        <row r="664">
          <cell r="A664">
            <v>46320</v>
          </cell>
          <cell r="B664" t="str">
            <v>October</v>
          </cell>
        </row>
        <row r="665">
          <cell r="A665">
            <v>46321</v>
          </cell>
          <cell r="B665" t="str">
            <v>October</v>
          </cell>
        </row>
        <row r="666">
          <cell r="A666">
            <v>46322</v>
          </cell>
          <cell r="B666" t="str">
            <v>October</v>
          </cell>
        </row>
        <row r="667">
          <cell r="A667">
            <v>46323</v>
          </cell>
          <cell r="B667" t="str">
            <v>October</v>
          </cell>
        </row>
        <row r="668">
          <cell r="A668">
            <v>46324</v>
          </cell>
          <cell r="B668" t="str">
            <v>October</v>
          </cell>
        </row>
        <row r="669">
          <cell r="A669">
            <v>46325</v>
          </cell>
          <cell r="B669" t="str">
            <v>October</v>
          </cell>
        </row>
        <row r="670">
          <cell r="A670">
            <v>46326</v>
          </cell>
          <cell r="B670" t="str">
            <v>October</v>
          </cell>
        </row>
        <row r="671">
          <cell r="A671">
            <v>46327</v>
          </cell>
          <cell r="B671" t="str">
            <v>November</v>
          </cell>
        </row>
        <row r="672">
          <cell r="A672">
            <v>46328</v>
          </cell>
          <cell r="B672" t="str">
            <v>November</v>
          </cell>
        </row>
        <row r="673">
          <cell r="A673">
            <v>46329</v>
          </cell>
          <cell r="B673" t="str">
            <v>November</v>
          </cell>
        </row>
        <row r="674">
          <cell r="A674">
            <v>46330</v>
          </cell>
          <cell r="B674" t="str">
            <v>November</v>
          </cell>
        </row>
        <row r="675">
          <cell r="A675">
            <v>46331</v>
          </cell>
          <cell r="B675" t="str">
            <v>November</v>
          </cell>
        </row>
        <row r="676">
          <cell r="A676">
            <v>46332</v>
          </cell>
          <cell r="B676" t="str">
            <v>November</v>
          </cell>
        </row>
        <row r="677">
          <cell r="A677">
            <v>46333</v>
          </cell>
          <cell r="B677" t="str">
            <v>November</v>
          </cell>
        </row>
        <row r="678">
          <cell r="A678">
            <v>46334</v>
          </cell>
          <cell r="B678" t="str">
            <v>November</v>
          </cell>
        </row>
        <row r="679">
          <cell r="A679">
            <v>46335</v>
          </cell>
          <cell r="B679" t="str">
            <v>November</v>
          </cell>
        </row>
        <row r="680">
          <cell r="A680">
            <v>46336</v>
          </cell>
          <cell r="B680" t="str">
            <v>November</v>
          </cell>
        </row>
        <row r="681">
          <cell r="A681">
            <v>46337</v>
          </cell>
          <cell r="B681" t="str">
            <v>November</v>
          </cell>
        </row>
        <row r="682">
          <cell r="A682">
            <v>46338</v>
          </cell>
          <cell r="B682" t="str">
            <v>November</v>
          </cell>
        </row>
        <row r="683">
          <cell r="A683">
            <v>46339</v>
          </cell>
          <cell r="B683" t="str">
            <v>November</v>
          </cell>
        </row>
        <row r="684">
          <cell r="A684">
            <v>46340</v>
          </cell>
          <cell r="B684" t="str">
            <v>November</v>
          </cell>
        </row>
        <row r="685">
          <cell r="A685">
            <v>46341</v>
          </cell>
          <cell r="B685" t="str">
            <v>November</v>
          </cell>
        </row>
        <row r="686">
          <cell r="A686">
            <v>46342</v>
          </cell>
          <cell r="B686" t="str">
            <v>November</v>
          </cell>
        </row>
        <row r="687">
          <cell r="A687">
            <v>46343</v>
          </cell>
          <cell r="B687" t="str">
            <v>November</v>
          </cell>
        </row>
        <row r="688">
          <cell r="A688">
            <v>46344</v>
          </cell>
          <cell r="B688" t="str">
            <v>November</v>
          </cell>
        </row>
        <row r="689">
          <cell r="A689">
            <v>46345</v>
          </cell>
          <cell r="B689" t="str">
            <v>November</v>
          </cell>
        </row>
        <row r="690">
          <cell r="A690">
            <v>46346</v>
          </cell>
          <cell r="B690" t="str">
            <v>November</v>
          </cell>
        </row>
        <row r="691">
          <cell r="A691">
            <v>46347</v>
          </cell>
          <cell r="B691" t="str">
            <v>November</v>
          </cell>
        </row>
        <row r="692">
          <cell r="A692">
            <v>46348</v>
          </cell>
          <cell r="B692" t="str">
            <v>November</v>
          </cell>
        </row>
        <row r="693">
          <cell r="A693">
            <v>46349</v>
          </cell>
          <cell r="B693" t="str">
            <v>November</v>
          </cell>
        </row>
        <row r="694">
          <cell r="A694">
            <v>46350</v>
          </cell>
          <cell r="B694" t="str">
            <v>November</v>
          </cell>
        </row>
        <row r="695">
          <cell r="A695">
            <v>46351</v>
          </cell>
          <cell r="B695" t="str">
            <v>November</v>
          </cell>
        </row>
        <row r="696">
          <cell r="A696">
            <v>46352</v>
          </cell>
          <cell r="B696" t="str">
            <v>November</v>
          </cell>
        </row>
        <row r="697">
          <cell r="A697">
            <v>46353</v>
          </cell>
          <cell r="B697" t="str">
            <v>November</v>
          </cell>
        </row>
        <row r="698">
          <cell r="A698">
            <v>46354</v>
          </cell>
          <cell r="B698" t="str">
            <v>November</v>
          </cell>
        </row>
        <row r="699">
          <cell r="A699">
            <v>46355</v>
          </cell>
          <cell r="B699" t="str">
            <v>November</v>
          </cell>
        </row>
        <row r="700">
          <cell r="A700">
            <v>46356</v>
          </cell>
          <cell r="B700" t="str">
            <v>November</v>
          </cell>
        </row>
        <row r="701">
          <cell r="A701">
            <v>46357</v>
          </cell>
          <cell r="B701" t="str">
            <v>December</v>
          </cell>
        </row>
        <row r="702">
          <cell r="A702">
            <v>46358</v>
          </cell>
          <cell r="B702" t="str">
            <v>December</v>
          </cell>
        </row>
        <row r="703">
          <cell r="A703">
            <v>46359</v>
          </cell>
          <cell r="B703" t="str">
            <v>December</v>
          </cell>
        </row>
        <row r="704">
          <cell r="A704">
            <v>46360</v>
          </cell>
          <cell r="B704" t="str">
            <v>December</v>
          </cell>
        </row>
        <row r="705">
          <cell r="A705">
            <v>46361</v>
          </cell>
          <cell r="B705" t="str">
            <v>December</v>
          </cell>
        </row>
        <row r="706">
          <cell r="A706">
            <v>46362</v>
          </cell>
          <cell r="B706" t="str">
            <v>December</v>
          </cell>
        </row>
        <row r="707">
          <cell r="A707">
            <v>46363</v>
          </cell>
          <cell r="B707" t="str">
            <v>December</v>
          </cell>
        </row>
        <row r="708">
          <cell r="A708">
            <v>46364</v>
          </cell>
          <cell r="B708" t="str">
            <v>December</v>
          </cell>
        </row>
        <row r="709">
          <cell r="A709">
            <v>46365</v>
          </cell>
          <cell r="B709" t="str">
            <v>December</v>
          </cell>
        </row>
        <row r="710">
          <cell r="A710">
            <v>46366</v>
          </cell>
          <cell r="B710" t="str">
            <v>December</v>
          </cell>
        </row>
        <row r="711">
          <cell r="A711">
            <v>46367</v>
          </cell>
          <cell r="B711" t="str">
            <v>December</v>
          </cell>
        </row>
        <row r="712">
          <cell r="A712">
            <v>46368</v>
          </cell>
          <cell r="B712" t="str">
            <v>December</v>
          </cell>
        </row>
        <row r="713">
          <cell r="A713">
            <v>46369</v>
          </cell>
          <cell r="B713" t="str">
            <v>December</v>
          </cell>
        </row>
        <row r="714">
          <cell r="A714">
            <v>46370</v>
          </cell>
          <cell r="B714" t="str">
            <v>December</v>
          </cell>
        </row>
        <row r="715">
          <cell r="A715">
            <v>46371</v>
          </cell>
          <cell r="B715" t="str">
            <v>December</v>
          </cell>
        </row>
        <row r="716">
          <cell r="A716">
            <v>46372</v>
          </cell>
          <cell r="B716" t="str">
            <v>December</v>
          </cell>
        </row>
        <row r="717">
          <cell r="A717">
            <v>46373</v>
          </cell>
          <cell r="B717" t="str">
            <v>December</v>
          </cell>
        </row>
        <row r="718">
          <cell r="A718">
            <v>46374</v>
          </cell>
          <cell r="B718" t="str">
            <v>December</v>
          </cell>
        </row>
        <row r="719">
          <cell r="A719">
            <v>46375</v>
          </cell>
          <cell r="B719" t="str">
            <v>December</v>
          </cell>
        </row>
        <row r="720">
          <cell r="A720">
            <v>46376</v>
          </cell>
          <cell r="B720" t="str">
            <v>December</v>
          </cell>
        </row>
        <row r="721">
          <cell r="A721">
            <v>46377</v>
          </cell>
          <cell r="B721" t="str">
            <v>December</v>
          </cell>
        </row>
        <row r="722">
          <cell r="A722">
            <v>46378</v>
          </cell>
          <cell r="B722" t="str">
            <v>December</v>
          </cell>
        </row>
        <row r="723">
          <cell r="A723">
            <v>46379</v>
          </cell>
          <cell r="B723" t="str">
            <v>December</v>
          </cell>
        </row>
        <row r="724">
          <cell r="A724">
            <v>46380</v>
          </cell>
          <cell r="B724" t="str">
            <v>December</v>
          </cell>
        </row>
        <row r="725">
          <cell r="A725">
            <v>46381</v>
          </cell>
          <cell r="B725" t="str">
            <v>December</v>
          </cell>
        </row>
        <row r="726">
          <cell r="A726">
            <v>46382</v>
          </cell>
          <cell r="B726" t="str">
            <v>December</v>
          </cell>
        </row>
        <row r="727">
          <cell r="A727">
            <v>46383</v>
          </cell>
          <cell r="B727" t="str">
            <v>December</v>
          </cell>
        </row>
        <row r="728">
          <cell r="A728">
            <v>46384</v>
          </cell>
          <cell r="B728" t="str">
            <v>December</v>
          </cell>
        </row>
        <row r="729">
          <cell r="A729">
            <v>46385</v>
          </cell>
          <cell r="B729" t="str">
            <v>December</v>
          </cell>
        </row>
        <row r="730">
          <cell r="A730">
            <v>46386</v>
          </cell>
          <cell r="B730" t="str">
            <v>December</v>
          </cell>
        </row>
        <row r="731">
          <cell r="A731">
            <v>46387</v>
          </cell>
          <cell r="B731" t="str">
            <v>December</v>
          </cell>
        </row>
        <row r="732">
          <cell r="A732">
            <v>46388</v>
          </cell>
          <cell r="B732" t="str">
            <v>January</v>
          </cell>
        </row>
        <row r="733">
          <cell r="A733">
            <v>46389</v>
          </cell>
          <cell r="B733" t="str">
            <v>January</v>
          </cell>
        </row>
        <row r="734">
          <cell r="A734">
            <v>46390</v>
          </cell>
          <cell r="B734" t="str">
            <v>January</v>
          </cell>
        </row>
        <row r="735">
          <cell r="A735">
            <v>46391</v>
          </cell>
          <cell r="B735" t="str">
            <v>January</v>
          </cell>
        </row>
        <row r="736">
          <cell r="A736">
            <v>46392</v>
          </cell>
          <cell r="B736" t="str">
            <v>January</v>
          </cell>
        </row>
        <row r="737">
          <cell r="A737">
            <v>46393</v>
          </cell>
          <cell r="B737" t="str">
            <v>January</v>
          </cell>
        </row>
        <row r="738">
          <cell r="A738">
            <v>46394</v>
          </cell>
          <cell r="B738" t="str">
            <v>January</v>
          </cell>
        </row>
        <row r="739">
          <cell r="A739">
            <v>46395</v>
          </cell>
          <cell r="B739" t="str">
            <v>January</v>
          </cell>
        </row>
        <row r="740">
          <cell r="A740">
            <v>46396</v>
          </cell>
          <cell r="B740" t="str">
            <v>January</v>
          </cell>
        </row>
        <row r="741">
          <cell r="A741">
            <v>46397</v>
          </cell>
          <cell r="B741" t="str">
            <v>January</v>
          </cell>
        </row>
        <row r="742">
          <cell r="A742">
            <v>46398</v>
          </cell>
          <cell r="B742" t="str">
            <v>January</v>
          </cell>
        </row>
        <row r="743">
          <cell r="A743">
            <v>46399</v>
          </cell>
          <cell r="B743" t="str">
            <v>January</v>
          </cell>
        </row>
        <row r="744">
          <cell r="A744">
            <v>46400</v>
          </cell>
          <cell r="B744" t="str">
            <v>January</v>
          </cell>
        </row>
        <row r="745">
          <cell r="A745">
            <v>46401</v>
          </cell>
          <cell r="B745" t="str">
            <v>January</v>
          </cell>
        </row>
        <row r="746">
          <cell r="A746">
            <v>46402</v>
          </cell>
          <cell r="B746" t="str">
            <v>January</v>
          </cell>
        </row>
        <row r="747">
          <cell r="A747">
            <v>46403</v>
          </cell>
          <cell r="B747" t="str">
            <v>January</v>
          </cell>
        </row>
        <row r="748">
          <cell r="A748">
            <v>46404</v>
          </cell>
          <cell r="B748" t="str">
            <v>January</v>
          </cell>
        </row>
        <row r="749">
          <cell r="A749">
            <v>46405</v>
          </cell>
          <cell r="B749" t="str">
            <v>January</v>
          </cell>
        </row>
        <row r="750">
          <cell r="A750">
            <v>46406</v>
          </cell>
          <cell r="B750" t="str">
            <v>January</v>
          </cell>
        </row>
        <row r="751">
          <cell r="A751">
            <v>46407</v>
          </cell>
          <cell r="B751" t="str">
            <v>January</v>
          </cell>
        </row>
        <row r="752">
          <cell r="A752">
            <v>46408</v>
          </cell>
          <cell r="B752" t="str">
            <v>January</v>
          </cell>
        </row>
        <row r="753">
          <cell r="A753">
            <v>46409</v>
          </cell>
          <cell r="B753" t="str">
            <v>January</v>
          </cell>
        </row>
        <row r="754">
          <cell r="A754">
            <v>46410</v>
          </cell>
          <cell r="B754" t="str">
            <v>January</v>
          </cell>
        </row>
        <row r="755">
          <cell r="A755">
            <v>46411</v>
          </cell>
          <cell r="B755" t="str">
            <v>January</v>
          </cell>
        </row>
        <row r="756">
          <cell r="A756">
            <v>46412</v>
          </cell>
          <cell r="B756" t="str">
            <v>January</v>
          </cell>
        </row>
        <row r="757">
          <cell r="A757">
            <v>46413</v>
          </cell>
          <cell r="B757" t="str">
            <v>January</v>
          </cell>
        </row>
        <row r="758">
          <cell r="A758">
            <v>46414</v>
          </cell>
          <cell r="B758" t="str">
            <v>January</v>
          </cell>
        </row>
        <row r="759">
          <cell r="A759">
            <v>46415</v>
          </cell>
          <cell r="B759" t="str">
            <v>January</v>
          </cell>
        </row>
        <row r="760">
          <cell r="A760">
            <v>46416</v>
          </cell>
          <cell r="B760" t="str">
            <v>January</v>
          </cell>
        </row>
        <row r="761">
          <cell r="A761">
            <v>46417</v>
          </cell>
          <cell r="B761" t="str">
            <v>January</v>
          </cell>
        </row>
        <row r="762">
          <cell r="A762">
            <v>46418</v>
          </cell>
          <cell r="B762" t="str">
            <v>January</v>
          </cell>
        </row>
        <row r="763">
          <cell r="A763">
            <v>46419</v>
          </cell>
          <cell r="B763" t="str">
            <v>February</v>
          </cell>
        </row>
        <row r="764">
          <cell r="A764">
            <v>46420</v>
          </cell>
          <cell r="B764" t="str">
            <v>February</v>
          </cell>
        </row>
        <row r="765">
          <cell r="A765">
            <v>46421</v>
          </cell>
          <cell r="B765" t="str">
            <v>February</v>
          </cell>
        </row>
        <row r="766">
          <cell r="A766">
            <v>46422</v>
          </cell>
          <cell r="B766" t="str">
            <v>February</v>
          </cell>
        </row>
        <row r="767">
          <cell r="A767">
            <v>46423</v>
          </cell>
          <cell r="B767" t="str">
            <v>February</v>
          </cell>
        </row>
        <row r="768">
          <cell r="A768">
            <v>46424</v>
          </cell>
          <cell r="B768" t="str">
            <v>February</v>
          </cell>
        </row>
        <row r="769">
          <cell r="A769">
            <v>46425</v>
          </cell>
          <cell r="B769" t="str">
            <v>February</v>
          </cell>
        </row>
        <row r="770">
          <cell r="A770">
            <v>46426</v>
          </cell>
          <cell r="B770" t="str">
            <v>February</v>
          </cell>
        </row>
        <row r="771">
          <cell r="A771">
            <v>46427</v>
          </cell>
          <cell r="B771" t="str">
            <v>February</v>
          </cell>
        </row>
        <row r="772">
          <cell r="A772">
            <v>46428</v>
          </cell>
          <cell r="B772" t="str">
            <v>February</v>
          </cell>
        </row>
        <row r="773">
          <cell r="A773">
            <v>46429</v>
          </cell>
          <cell r="B773" t="str">
            <v>February</v>
          </cell>
        </row>
        <row r="774">
          <cell r="A774">
            <v>46430</v>
          </cell>
          <cell r="B774" t="str">
            <v>February</v>
          </cell>
        </row>
        <row r="775">
          <cell r="A775">
            <v>46431</v>
          </cell>
          <cell r="B775" t="str">
            <v>February</v>
          </cell>
        </row>
        <row r="776">
          <cell r="A776">
            <v>46432</v>
          </cell>
          <cell r="B776" t="str">
            <v>February</v>
          </cell>
        </row>
        <row r="777">
          <cell r="A777">
            <v>46433</v>
          </cell>
          <cell r="B777" t="str">
            <v>February</v>
          </cell>
        </row>
        <row r="778">
          <cell r="A778">
            <v>46434</v>
          </cell>
          <cell r="B778" t="str">
            <v>February</v>
          </cell>
        </row>
        <row r="779">
          <cell r="A779">
            <v>46435</v>
          </cell>
          <cell r="B779" t="str">
            <v>February</v>
          </cell>
        </row>
        <row r="780">
          <cell r="A780">
            <v>46436</v>
          </cell>
          <cell r="B780" t="str">
            <v>February</v>
          </cell>
        </row>
        <row r="781">
          <cell r="A781">
            <v>46437</v>
          </cell>
          <cell r="B781" t="str">
            <v>February</v>
          </cell>
        </row>
        <row r="782">
          <cell r="A782">
            <v>46438</v>
          </cell>
          <cell r="B782" t="str">
            <v>February</v>
          </cell>
        </row>
        <row r="783">
          <cell r="A783">
            <v>46439</v>
          </cell>
          <cell r="B783" t="str">
            <v>February</v>
          </cell>
        </row>
        <row r="784">
          <cell r="A784">
            <v>46440</v>
          </cell>
          <cell r="B784" t="str">
            <v>February</v>
          </cell>
        </row>
        <row r="785">
          <cell r="A785">
            <v>46441</v>
          </cell>
          <cell r="B785" t="str">
            <v>February</v>
          </cell>
        </row>
        <row r="786">
          <cell r="A786">
            <v>46442</v>
          </cell>
          <cell r="B786" t="str">
            <v>February</v>
          </cell>
        </row>
        <row r="787">
          <cell r="A787">
            <v>46443</v>
          </cell>
          <cell r="B787" t="str">
            <v>February</v>
          </cell>
        </row>
        <row r="788">
          <cell r="A788">
            <v>46444</v>
          </cell>
          <cell r="B788" t="str">
            <v>February</v>
          </cell>
        </row>
        <row r="789">
          <cell r="A789">
            <v>46445</v>
          </cell>
          <cell r="B789" t="str">
            <v>February</v>
          </cell>
        </row>
        <row r="790">
          <cell r="A790">
            <v>46446</v>
          </cell>
          <cell r="B790" t="str">
            <v>February</v>
          </cell>
        </row>
        <row r="791">
          <cell r="A791">
            <v>46447</v>
          </cell>
          <cell r="B791" t="str">
            <v>March</v>
          </cell>
        </row>
        <row r="792">
          <cell r="A792">
            <v>46448</v>
          </cell>
          <cell r="B792" t="str">
            <v>March</v>
          </cell>
        </row>
        <row r="793">
          <cell r="A793">
            <v>46449</v>
          </cell>
          <cell r="B793" t="str">
            <v>March</v>
          </cell>
        </row>
        <row r="794">
          <cell r="A794">
            <v>46450</v>
          </cell>
          <cell r="B794" t="str">
            <v>March</v>
          </cell>
        </row>
        <row r="795">
          <cell r="A795">
            <v>46451</v>
          </cell>
          <cell r="B795" t="str">
            <v>March</v>
          </cell>
        </row>
        <row r="796">
          <cell r="A796">
            <v>46452</v>
          </cell>
          <cell r="B796" t="str">
            <v>March</v>
          </cell>
        </row>
        <row r="797">
          <cell r="A797">
            <v>46453</v>
          </cell>
          <cell r="B797" t="str">
            <v>March</v>
          </cell>
        </row>
        <row r="798">
          <cell r="A798">
            <v>46454</v>
          </cell>
          <cell r="B798" t="str">
            <v>March</v>
          </cell>
        </row>
        <row r="799">
          <cell r="A799">
            <v>46455</v>
          </cell>
          <cell r="B799" t="str">
            <v>March</v>
          </cell>
        </row>
        <row r="800">
          <cell r="A800">
            <v>46456</v>
          </cell>
          <cell r="B800" t="str">
            <v>March</v>
          </cell>
        </row>
        <row r="801">
          <cell r="A801">
            <v>46457</v>
          </cell>
          <cell r="B801" t="str">
            <v>March</v>
          </cell>
        </row>
        <row r="802">
          <cell r="A802">
            <v>46458</v>
          </cell>
          <cell r="B802" t="str">
            <v>March</v>
          </cell>
        </row>
        <row r="803">
          <cell r="A803">
            <v>46459</v>
          </cell>
          <cell r="B803" t="str">
            <v>March</v>
          </cell>
        </row>
        <row r="804">
          <cell r="A804">
            <v>46460</v>
          </cell>
          <cell r="B804" t="str">
            <v>March</v>
          </cell>
        </row>
        <row r="805">
          <cell r="A805">
            <v>46461</v>
          </cell>
          <cell r="B805" t="str">
            <v>March</v>
          </cell>
        </row>
        <row r="806">
          <cell r="A806">
            <v>46462</v>
          </cell>
          <cell r="B806" t="str">
            <v>March</v>
          </cell>
        </row>
        <row r="807">
          <cell r="A807">
            <v>46463</v>
          </cell>
          <cell r="B807" t="str">
            <v>March</v>
          </cell>
        </row>
        <row r="808">
          <cell r="A808">
            <v>46464</v>
          </cell>
          <cell r="B808" t="str">
            <v>March</v>
          </cell>
        </row>
        <row r="809">
          <cell r="A809">
            <v>46465</v>
          </cell>
          <cell r="B809" t="str">
            <v>March</v>
          </cell>
        </row>
        <row r="810">
          <cell r="A810">
            <v>46466</v>
          </cell>
          <cell r="B810" t="str">
            <v>March</v>
          </cell>
        </row>
        <row r="811">
          <cell r="A811">
            <v>46467</v>
          </cell>
          <cell r="B811" t="str">
            <v>March</v>
          </cell>
        </row>
        <row r="812">
          <cell r="A812">
            <v>46468</v>
          </cell>
          <cell r="B812" t="str">
            <v>March</v>
          </cell>
        </row>
        <row r="813">
          <cell r="A813">
            <v>46469</v>
          </cell>
          <cell r="B813" t="str">
            <v>March</v>
          </cell>
        </row>
        <row r="814">
          <cell r="A814">
            <v>46470</v>
          </cell>
          <cell r="B814" t="str">
            <v>March</v>
          </cell>
        </row>
        <row r="815">
          <cell r="A815">
            <v>46471</v>
          </cell>
          <cell r="B815" t="str">
            <v>March</v>
          </cell>
        </row>
        <row r="816">
          <cell r="A816">
            <v>46472</v>
          </cell>
          <cell r="B816" t="str">
            <v>March</v>
          </cell>
        </row>
        <row r="817">
          <cell r="A817">
            <v>46473</v>
          </cell>
          <cell r="B817" t="str">
            <v>March</v>
          </cell>
        </row>
        <row r="818">
          <cell r="A818">
            <v>46474</v>
          </cell>
          <cell r="B818" t="str">
            <v>March</v>
          </cell>
        </row>
        <row r="819">
          <cell r="A819">
            <v>46475</v>
          </cell>
          <cell r="B819" t="str">
            <v>March</v>
          </cell>
        </row>
        <row r="820">
          <cell r="A820">
            <v>46476</v>
          </cell>
          <cell r="B820" t="str">
            <v>March</v>
          </cell>
        </row>
        <row r="821">
          <cell r="A821">
            <v>46477</v>
          </cell>
          <cell r="B821" t="str">
            <v>March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R58"/>
  <sheetViews>
    <sheetView tabSelected="1" zoomScale="70" zoomScaleNormal="70" workbookViewId="0">
      <selection activeCell="BS1" sqref="BS1:BS1048576"/>
    </sheetView>
  </sheetViews>
  <sheetFormatPr baseColWidth="8" defaultColWidth="8.85546875" defaultRowHeight="15"/>
  <cols>
    <col width="8.7109375" customWidth="1" style="3" min="1" max="1"/>
    <col width="8.140625" customWidth="1" style="3" min="2" max="2"/>
    <col width="8" customWidth="1" style="3" min="3" max="3"/>
    <col width="28.5703125" bestFit="1" customWidth="1" style="3" min="4" max="4"/>
    <col width="27.7109375" bestFit="1" customWidth="1" style="3" min="5" max="5"/>
    <col width="16.28515625" customWidth="1" style="3" min="6" max="11"/>
    <col width="23" bestFit="1" customWidth="1" style="3" min="12" max="12"/>
    <col width="16.28515625" customWidth="1" style="3" min="13" max="13"/>
    <col width="60.42578125" bestFit="1" customWidth="1" style="3" min="14" max="14"/>
    <col width="18.85546875" bestFit="1" customWidth="1" style="3" min="15" max="15"/>
    <col width="22.42578125" customWidth="1" style="3" min="16" max="16"/>
    <col width="9.7109375" customWidth="1" style="3" min="17" max="30"/>
    <col width="8.28515625" customWidth="1" style="3" min="31" max="31"/>
    <col width="12.85546875" customWidth="1" style="3" min="32" max="32"/>
    <col width="16.28515625" customWidth="1" style="3" min="33" max="70"/>
  </cols>
  <sheetData>
    <row r="1">
      <c r="A1" s="19" t="inlineStr">
        <is>
          <t>MERCH</t>
        </is>
      </c>
      <c r="B1" s="19" t="inlineStr">
        <is>
          <t>MERCH</t>
        </is>
      </c>
      <c r="C1" s="19" t="inlineStr">
        <is>
          <t>MERCH</t>
        </is>
      </c>
      <c r="D1" s="19" t="inlineStr">
        <is>
          <t>MERCH</t>
        </is>
      </c>
      <c r="E1" s="19" t="inlineStr">
        <is>
          <t>MERCH</t>
        </is>
      </c>
      <c r="F1" s="19" t="inlineStr">
        <is>
          <t>MERCH</t>
        </is>
      </c>
      <c r="G1" s="19" t="inlineStr">
        <is>
          <t>MERCH</t>
        </is>
      </c>
      <c r="H1" s="19" t="inlineStr">
        <is>
          <t>MERCH</t>
        </is>
      </c>
      <c r="I1" s="19" t="inlineStr">
        <is>
          <t>MERCH</t>
        </is>
      </c>
      <c r="J1" s="19" t="inlineStr">
        <is>
          <t>MERCH</t>
        </is>
      </c>
      <c r="K1" s="19" t="inlineStr">
        <is>
          <t>MERCH</t>
        </is>
      </c>
      <c r="L1" s="19" t="inlineStr">
        <is>
          <t>MERCH</t>
        </is>
      </c>
      <c r="M1" s="19" t="inlineStr">
        <is>
          <t>MERCH</t>
        </is>
      </c>
      <c r="N1" s="19" t="inlineStr">
        <is>
          <t>MERCH</t>
        </is>
      </c>
      <c r="O1" s="19" t="inlineStr">
        <is>
          <t>MERCH</t>
        </is>
      </c>
      <c r="P1" s="19" t="inlineStr">
        <is>
          <t>MERCH</t>
        </is>
      </c>
      <c r="Q1" s="52" t="inlineStr">
        <is>
          <t>MERCH</t>
        </is>
      </c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4" t="n"/>
      <c r="AE1" s="19" t="inlineStr">
        <is>
          <t>AUTO</t>
        </is>
      </c>
      <c r="AF1" s="19" t="inlineStr">
        <is>
          <t>MERCH</t>
        </is>
      </c>
      <c r="AG1" s="19" t="inlineStr">
        <is>
          <t>MERCH</t>
        </is>
      </c>
      <c r="AH1" s="23" t="inlineStr">
        <is>
          <t>MERCH</t>
        </is>
      </c>
      <c r="AI1" s="23" t="inlineStr">
        <is>
          <t>MERCH</t>
        </is>
      </c>
      <c r="AJ1" s="23" t="inlineStr">
        <is>
          <t>DESIGN</t>
        </is>
      </c>
      <c r="AK1" s="23" t="inlineStr">
        <is>
          <t>PRODUCT</t>
        </is>
      </c>
      <c r="AL1" s="23" t="inlineStr">
        <is>
          <t>PRODUCT</t>
        </is>
      </c>
      <c r="AM1" s="23" t="inlineStr">
        <is>
          <t>MERCH</t>
        </is>
      </c>
      <c r="AN1" s="23" t="inlineStr">
        <is>
          <t>PRIME</t>
        </is>
      </c>
      <c r="AO1" s="23" t="inlineStr">
        <is>
          <t>PRODUCT</t>
        </is>
      </c>
      <c r="AP1" s="23" t="inlineStr">
        <is>
          <t>AUTO</t>
        </is>
      </c>
      <c r="AQ1" s="23" t="inlineStr">
        <is>
          <t>PRODUCT</t>
        </is>
      </c>
      <c r="AR1" s="23" t="inlineStr">
        <is>
          <t>PRODUCT</t>
        </is>
      </c>
      <c r="AS1" s="23" t="inlineStr">
        <is>
          <t>AUTO</t>
        </is>
      </c>
      <c r="AT1" s="23" t="inlineStr">
        <is>
          <t>PRODUCT</t>
        </is>
      </c>
      <c r="AU1" s="23" t="inlineStr">
        <is>
          <t>PRODUCT</t>
        </is>
      </c>
      <c r="AV1" s="23" t="inlineStr">
        <is>
          <t>AUTO</t>
        </is>
      </c>
      <c r="AW1" s="23" t="inlineStr">
        <is>
          <t>PRODUCT</t>
        </is>
      </c>
      <c r="AX1" s="23" t="inlineStr">
        <is>
          <t>PRODUCT</t>
        </is>
      </c>
      <c r="AY1" s="23" t="inlineStr">
        <is>
          <t>AUTO</t>
        </is>
      </c>
      <c r="AZ1" s="23" t="inlineStr">
        <is>
          <t>PRODUCT</t>
        </is>
      </c>
      <c r="BA1" s="23" t="inlineStr">
        <is>
          <t>PRODUCT</t>
        </is>
      </c>
      <c r="BB1" s="23" t="inlineStr">
        <is>
          <t>PRODUCT</t>
        </is>
      </c>
      <c r="BC1" s="23" t="inlineStr">
        <is>
          <t>PRODUCT</t>
        </is>
      </c>
      <c r="BD1" s="23" t="inlineStr">
        <is>
          <t>MERCH</t>
        </is>
      </c>
      <c r="BE1" s="23" t="inlineStr">
        <is>
          <t>MERCH</t>
        </is>
      </c>
      <c r="BF1" s="7" t="inlineStr">
        <is>
          <t>PRODUCT</t>
        </is>
      </c>
      <c r="BG1" s="23" t="inlineStr">
        <is>
          <t>MERCH</t>
        </is>
      </c>
      <c r="BH1" s="23" t="inlineStr">
        <is>
          <t>AUTO</t>
        </is>
      </c>
      <c r="BI1" s="23" t="inlineStr">
        <is>
          <t>AUTO</t>
        </is>
      </c>
      <c r="BJ1" s="23" t="inlineStr">
        <is>
          <t>AUTO</t>
        </is>
      </c>
      <c r="BK1" s="19" t="inlineStr">
        <is>
          <t>AUTO</t>
        </is>
      </c>
      <c r="BL1" s="23" t="inlineStr">
        <is>
          <t>PRIME</t>
        </is>
      </c>
      <c r="BM1" s="23" t="inlineStr">
        <is>
          <t>PRIME</t>
        </is>
      </c>
      <c r="BN1" s="23" t="inlineStr">
        <is>
          <t>PRIME</t>
        </is>
      </c>
      <c r="BO1" s="23" t="inlineStr">
        <is>
          <t>PRIME</t>
        </is>
      </c>
      <c r="BP1" s="23" t="inlineStr">
        <is>
          <t>MERCH</t>
        </is>
      </c>
      <c r="BQ1" s="23" t="inlineStr">
        <is>
          <t>AUTO</t>
        </is>
      </c>
      <c r="BR1" s="19" t="inlineStr">
        <is>
          <t>ALL</t>
        </is>
      </c>
    </row>
    <row r="2" ht="15" customFormat="1" customHeight="1" s="34">
      <c r="A2" s="55" t="inlineStr">
        <is>
          <t>PO#</t>
        </is>
      </c>
      <c r="B2" s="55" t="inlineStr">
        <is>
          <t>SL SYSTEM PO#</t>
        </is>
      </c>
      <c r="C2" s="56" t="inlineStr">
        <is>
          <t>ACTIVE</t>
        </is>
      </c>
      <c r="D2" s="55" t="inlineStr">
        <is>
          <t>CUSTOMER</t>
        </is>
      </c>
      <c r="E2" s="55" t="inlineStr">
        <is>
          <t>ORDER REFERENCE</t>
        </is>
      </c>
      <c r="F2" s="55" t="inlineStr">
        <is>
          <t>CUSTOMER PO#</t>
        </is>
      </c>
      <c r="G2" s="55" t="inlineStr">
        <is>
          <t>DIRECT REPEAT/ NEW?</t>
        </is>
      </c>
      <c r="H2" s="55" t="inlineStr">
        <is>
          <t>SEASON</t>
        </is>
      </c>
      <c r="I2" s="55" t="inlineStr">
        <is>
          <t>SUPPLIER</t>
        </is>
      </c>
      <c r="J2" s="55" t="inlineStr">
        <is>
          <t>TERMS</t>
        </is>
      </c>
      <c r="K2" s="55" t="inlineStr">
        <is>
          <t>SL SALES PERSON</t>
        </is>
      </c>
      <c r="L2" s="55" t="inlineStr">
        <is>
          <t>STYLE CODE</t>
        </is>
      </c>
      <c r="M2" s="55" t="inlineStr">
        <is>
          <t>CUSTOMER STYLE CODE</t>
        </is>
      </c>
      <c r="N2" s="55" t="inlineStr">
        <is>
          <t>DESCRIPTION</t>
        </is>
      </c>
      <c r="O2" s="55" t="inlineStr">
        <is>
          <t>COLOUR</t>
        </is>
      </c>
      <c r="P2" s="25" t="inlineStr">
        <is>
          <t>GENDER</t>
        </is>
      </c>
      <c r="Q2" s="18" t="inlineStr">
        <is>
          <t>SIZE RANGE &amp; QTY</t>
        </is>
      </c>
      <c r="R2" s="57" t="n"/>
      <c r="S2" s="57" t="n"/>
      <c r="T2" s="57" t="n"/>
      <c r="U2" s="57" t="n"/>
      <c r="V2" s="57" t="n"/>
      <c r="W2" s="57" t="n"/>
      <c r="X2" s="57" t="n"/>
      <c r="Y2" s="57" t="n"/>
      <c r="Z2" s="57" t="n"/>
      <c r="AA2" s="57" t="n"/>
      <c r="AB2" s="57" t="n"/>
      <c r="AC2" s="57" t="n"/>
      <c r="AD2" s="58" t="n"/>
      <c r="AE2" s="59" t="inlineStr">
        <is>
          <t>TOTAL</t>
        </is>
      </c>
      <c r="AF2" s="60" t="inlineStr">
        <is>
          <t>FACTORY COST PRICE</t>
        </is>
      </c>
      <c r="AG2" s="60" t="inlineStr">
        <is>
          <t>TOTAL ORDER COST</t>
        </is>
      </c>
      <c r="AH2" s="61" t="inlineStr">
        <is>
          <t>ORDER RECEIVED DATE</t>
        </is>
      </c>
      <c r="AI2" s="61" t="inlineStr">
        <is>
          <t>ORDER SENT TO FACTORY DATE</t>
        </is>
      </c>
      <c r="AJ2" s="61" t="inlineStr">
        <is>
          <t>TECH PACKS SENT TO FACTORY</t>
        </is>
      </c>
      <c r="AK2" s="61" t="inlineStr">
        <is>
          <t>SPECS SENT TO FACTORY</t>
        </is>
      </c>
      <c r="AL2" s="61" t="inlineStr">
        <is>
          <t>BARCODES SENT TO FACTORY</t>
        </is>
      </c>
      <c r="AM2" s="61" t="inlineStr">
        <is>
          <t>REQUESTED EX-FACTORY</t>
        </is>
      </c>
      <c r="AN2" s="31" t="inlineStr">
        <is>
          <t>FACTORY CONFIRMED EX-FACTORY</t>
        </is>
      </c>
      <c r="AO2" s="61" t="inlineStr">
        <is>
          <t>FIT SAMPLE REQUIRED Y/N</t>
        </is>
      </c>
      <c r="AP2" s="16" t="inlineStr">
        <is>
          <t>FIT SAMPLE STATUS</t>
        </is>
      </c>
      <c r="AQ2" s="61" t="inlineStr">
        <is>
          <t>FIT SAMPLE RECEIVED</t>
        </is>
      </c>
      <c r="AR2" s="61" t="inlineStr">
        <is>
          <t>FIT SAMPLE APPROVED</t>
        </is>
      </c>
      <c r="AS2" s="61" t="inlineStr">
        <is>
          <t>STRIKE OFF STATUS</t>
        </is>
      </c>
      <c r="AT2" s="61" t="inlineStr">
        <is>
          <t>STRIKE OFF RECEIVED</t>
        </is>
      </c>
      <c r="AU2" s="61" t="inlineStr">
        <is>
          <t>STRIKE OFF APPROVED</t>
        </is>
      </c>
      <c r="AV2" s="61" t="inlineStr">
        <is>
          <t>LAB DIP STATUS</t>
        </is>
      </c>
      <c r="AW2" s="61" t="inlineStr">
        <is>
          <t>LAB DIP RECEIVED</t>
        </is>
      </c>
      <c r="AX2" s="61" t="inlineStr">
        <is>
          <t>LAB DIP APPROVED</t>
        </is>
      </c>
      <c r="AY2" s="61" t="inlineStr">
        <is>
          <t>PPS STATUS</t>
        </is>
      </c>
      <c r="AZ2" s="61" t="inlineStr">
        <is>
          <t>PPS RECEIVED</t>
        </is>
      </c>
      <c r="BA2" s="61" t="inlineStr">
        <is>
          <t>PPS SENT TO CUSTOMER</t>
        </is>
      </c>
      <c r="BB2" s="61" t="inlineStr">
        <is>
          <t>PPS APPROVED</t>
        </is>
      </c>
      <c r="BC2" s="61" t="inlineStr">
        <is>
          <t>PHOTO SAMPLE RECEIVED</t>
        </is>
      </c>
      <c r="BD2" s="62" t="inlineStr">
        <is>
          <t>EX FACTORY BASED FROM PP APPROVAL</t>
        </is>
      </c>
      <c r="BE2" s="33" t="inlineStr">
        <is>
          <t>REVISED EX-FACTORY</t>
        </is>
      </c>
      <c r="BF2" s="17" t="inlineStr">
        <is>
          <t>SHIPMENT SAMPLE RECEIVED</t>
        </is>
      </c>
      <c r="BG2" s="61" t="inlineStr">
        <is>
          <t>CUSTOMER REQUESTED DELIVERY DATE</t>
        </is>
      </c>
      <c r="BH2" s="31" t="inlineStr">
        <is>
          <t>ETA TO UK (BASED OFF REVISED EX-FACTORY)</t>
        </is>
      </c>
      <c r="BI2" s="16" t="inlineStr">
        <is>
          <t>ETA TO CUSTOMER (BASED OFF REVISED EX-FACTORY)</t>
        </is>
      </c>
      <c r="BJ2" s="55" t="inlineStr">
        <is>
          <t>CUSTOMER PO OPEN MONTH</t>
        </is>
      </c>
      <c r="BK2" s="55" t="inlineStr">
        <is>
          <t>EXPECTED CUSTOMER DELIVERY MONTH</t>
        </is>
      </c>
      <c r="BL2" s="61" t="inlineStr">
        <is>
          <t>FCL/ LCL</t>
        </is>
      </c>
      <c r="BM2" s="61" t="inlineStr">
        <is>
          <t>VESSEL NAME</t>
        </is>
      </c>
      <c r="BN2" s="31" t="inlineStr">
        <is>
          <t>VESSEL ETD</t>
        </is>
      </c>
      <c r="BO2" s="31" t="inlineStr">
        <is>
          <t>VESSEL ETA TO PORT</t>
        </is>
      </c>
      <c r="BP2" s="61" t="inlineStr">
        <is>
          <t>REVISED VESSEL ETA TO PORT</t>
        </is>
      </c>
      <c r="BQ2" s="31" t="inlineStr">
        <is>
          <t>ESTIMATED DEL TO CUSTOMER (BASED OFF REVISED VESSEL ETA TO PORT)</t>
        </is>
      </c>
      <c r="BR2" s="55" t="inlineStr">
        <is>
          <t>COMMENTS</t>
        </is>
      </c>
    </row>
    <row r="3" customFormat="1" s="34">
      <c r="A3" s="63" t="n"/>
      <c r="B3" s="63" t="n"/>
      <c r="C3" s="63" t="n"/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37" t="inlineStr">
        <is>
          <t>001-MENS/ ADULTS</t>
        </is>
      </c>
      <c r="Q3" s="17" t="inlineStr">
        <is>
          <t>2XS</t>
        </is>
      </c>
      <c r="R3" s="17" t="inlineStr">
        <is>
          <t>XS</t>
        </is>
      </c>
      <c r="S3" s="17" t="inlineStr">
        <is>
          <t>S</t>
        </is>
      </c>
      <c r="T3" s="17" t="inlineStr">
        <is>
          <t>M</t>
        </is>
      </c>
      <c r="U3" s="17" t="inlineStr">
        <is>
          <t>L</t>
        </is>
      </c>
      <c r="V3" s="17" t="inlineStr">
        <is>
          <t>XL</t>
        </is>
      </c>
      <c r="W3" s="17" t="inlineStr">
        <is>
          <t>2XL</t>
        </is>
      </c>
      <c r="X3" s="17" t="inlineStr">
        <is>
          <t>3XL</t>
        </is>
      </c>
      <c r="Y3" s="17" t="inlineStr">
        <is>
          <t>4XL</t>
        </is>
      </c>
      <c r="Z3" s="17" t="inlineStr">
        <is>
          <t>5XL</t>
        </is>
      </c>
      <c r="AA3" s="17" t="n"/>
      <c r="AB3" s="17" t="n"/>
      <c r="AC3" s="17" t="n"/>
      <c r="AD3" s="17" t="n"/>
      <c r="AE3" s="63" t="n"/>
      <c r="AF3" s="63" t="n"/>
      <c r="AG3" s="63" t="n"/>
      <c r="AH3" s="63" t="n"/>
      <c r="AI3" s="63" t="n"/>
      <c r="AJ3" s="63" t="n"/>
      <c r="AK3" s="63" t="n"/>
      <c r="AL3" s="63" t="n"/>
      <c r="AM3" s="63" t="n"/>
      <c r="AN3" s="64" t="n"/>
      <c r="AO3" s="63" t="n"/>
      <c r="AP3" s="63" t="n"/>
      <c r="AQ3" s="63" t="n"/>
      <c r="AR3" s="63" t="n"/>
      <c r="AS3" s="63" t="n"/>
      <c r="AT3" s="63" t="n"/>
      <c r="AU3" s="63" t="n"/>
      <c r="AV3" s="63" t="n"/>
      <c r="AW3" s="63" t="n"/>
      <c r="AX3" s="63" t="n"/>
      <c r="AY3" s="63" t="n"/>
      <c r="AZ3" s="63" t="n"/>
      <c r="BA3" s="63" t="n"/>
      <c r="BB3" s="63" t="n"/>
      <c r="BC3" s="63" t="n"/>
      <c r="BD3" s="63" t="n"/>
      <c r="BE3" s="64" t="n"/>
      <c r="BF3" s="64" t="n"/>
      <c r="BG3" s="63" t="n"/>
      <c r="BH3" s="64" t="n"/>
      <c r="BI3" s="63" t="n"/>
      <c r="BJ3" s="63" t="n"/>
      <c r="BK3" s="63" t="n"/>
      <c r="BL3" s="63" t="n"/>
      <c r="BM3" s="63" t="n"/>
      <c r="BN3" s="64" t="n"/>
      <c r="BO3" s="64" t="n"/>
      <c r="BP3" s="63" t="n"/>
      <c r="BQ3" s="64" t="n"/>
      <c r="BR3" s="63" t="n"/>
    </row>
    <row r="4" customFormat="1" s="34">
      <c r="A4" s="63" t="n"/>
      <c r="B4" s="63" t="n"/>
      <c r="C4" s="63" t="n"/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37" t="inlineStr">
        <is>
          <t>002-LADIES</t>
        </is>
      </c>
      <c r="Q4" s="17" t="n">
        <v>6</v>
      </c>
      <c r="R4" s="17" t="n">
        <v>8</v>
      </c>
      <c r="S4" s="17" t="n">
        <v>10</v>
      </c>
      <c r="T4" s="17" t="n">
        <v>12</v>
      </c>
      <c r="U4" s="17" t="n">
        <v>14</v>
      </c>
      <c r="V4" s="17" t="n">
        <v>16</v>
      </c>
      <c r="W4" s="17" t="n">
        <v>18</v>
      </c>
      <c r="X4" s="17" t="n">
        <v>20</v>
      </c>
      <c r="Y4" s="17" t="n">
        <v>22</v>
      </c>
      <c r="Z4" s="17" t="n">
        <v>24</v>
      </c>
      <c r="AA4" s="17" t="n"/>
      <c r="AB4" s="17" t="n"/>
      <c r="AC4" s="17" t="n"/>
      <c r="AD4" s="17" t="n"/>
      <c r="AE4" s="63" t="n"/>
      <c r="AF4" s="63" t="n"/>
      <c r="AG4" s="63" t="n"/>
      <c r="AH4" s="63" t="n"/>
      <c r="AI4" s="63" t="n"/>
      <c r="AJ4" s="63" t="n"/>
      <c r="AK4" s="63" t="n"/>
      <c r="AL4" s="63" t="n"/>
      <c r="AM4" s="63" t="n"/>
      <c r="AN4" s="64" t="n"/>
      <c r="AO4" s="63" t="n"/>
      <c r="AP4" s="63" t="n"/>
      <c r="AQ4" s="63" t="n"/>
      <c r="AR4" s="63" t="n"/>
      <c r="AS4" s="63" t="n"/>
      <c r="AT4" s="63" t="n"/>
      <c r="AU4" s="63" t="n"/>
      <c r="AV4" s="63" t="n"/>
      <c r="AW4" s="63" t="n"/>
      <c r="AX4" s="63" t="n"/>
      <c r="AY4" s="63" t="n"/>
      <c r="AZ4" s="63" t="n"/>
      <c r="BA4" s="63" t="n"/>
      <c r="BB4" s="63" t="n"/>
      <c r="BC4" s="63" t="n"/>
      <c r="BD4" s="63" t="n"/>
      <c r="BE4" s="64" t="n"/>
      <c r="BF4" s="64" t="n"/>
      <c r="BG4" s="63" t="n"/>
      <c r="BH4" s="64" t="n"/>
      <c r="BI4" s="63" t="n"/>
      <c r="BJ4" s="63" t="n"/>
      <c r="BK4" s="63" t="n"/>
      <c r="BL4" s="63" t="n"/>
      <c r="BM4" s="63" t="n"/>
      <c r="BN4" s="64" t="n"/>
      <c r="BO4" s="64" t="n"/>
      <c r="BP4" s="63" t="n"/>
      <c r="BQ4" s="64" t="n"/>
      <c r="BR4" s="63" t="n"/>
    </row>
    <row r="5" ht="16.5" customFormat="1" customHeight="1" s="34">
      <c r="A5" s="63" t="n"/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37" t="inlineStr">
        <is>
          <t>003-KIDS LETTER</t>
        </is>
      </c>
      <c r="Q5" s="5" t="inlineStr">
        <is>
          <t>XSB</t>
        </is>
      </c>
      <c r="R5" s="5" t="inlineStr">
        <is>
          <t>SB</t>
        </is>
      </c>
      <c r="S5" s="5" t="inlineStr">
        <is>
          <t>MB</t>
        </is>
      </c>
      <c r="T5" s="5" t="inlineStr">
        <is>
          <t>LB</t>
        </is>
      </c>
      <c r="U5" s="5" t="inlineStr">
        <is>
          <t>XLB</t>
        </is>
      </c>
      <c r="V5" s="5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64" t="n"/>
      <c r="AO5" s="63" t="n"/>
      <c r="AP5" s="63" t="n"/>
      <c r="AQ5" s="63" t="n"/>
      <c r="AR5" s="63" t="n"/>
      <c r="AS5" s="63" t="n"/>
      <c r="AT5" s="63" t="n"/>
      <c r="AU5" s="63" t="n"/>
      <c r="AV5" s="63" t="n"/>
      <c r="AW5" s="63" t="n"/>
      <c r="AX5" s="63" t="n"/>
      <c r="AY5" s="63" t="n"/>
      <c r="AZ5" s="63" t="n"/>
      <c r="BA5" s="63" t="n"/>
      <c r="BB5" s="63" t="n"/>
      <c r="BC5" s="63" t="n"/>
      <c r="BD5" s="63" t="n"/>
      <c r="BE5" s="64" t="n"/>
      <c r="BF5" s="64" t="n"/>
      <c r="BG5" s="63" t="n"/>
      <c r="BH5" s="64" t="n"/>
      <c r="BI5" s="63" t="n"/>
      <c r="BJ5" s="63" t="n"/>
      <c r="BK5" s="63" t="n"/>
      <c r="BL5" s="63" t="n"/>
      <c r="BM5" s="63" t="n"/>
      <c r="BN5" s="64" t="n"/>
      <c r="BO5" s="64" t="n"/>
      <c r="BP5" s="63" t="n"/>
      <c r="BQ5" s="64" t="n"/>
      <c r="BR5" s="63" t="n"/>
    </row>
    <row r="6" customFormat="1" s="34">
      <c r="A6" s="63" t="n"/>
      <c r="B6" s="63" t="n"/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37" t="inlineStr">
        <is>
          <t>004-KIDS</t>
        </is>
      </c>
      <c r="Q6" s="5" t="inlineStr">
        <is>
          <t>2-3</t>
        </is>
      </c>
      <c r="R6" s="5" t="inlineStr">
        <is>
          <t>4-5</t>
        </is>
      </c>
      <c r="S6" s="5" t="inlineStr">
        <is>
          <t>6-7</t>
        </is>
      </c>
      <c r="T6" s="5" t="inlineStr">
        <is>
          <t>8-9</t>
        </is>
      </c>
      <c r="U6" s="5" t="inlineStr">
        <is>
          <t>10-11</t>
        </is>
      </c>
      <c r="V6" s="17" t="inlineStr">
        <is>
          <t>12-13</t>
        </is>
      </c>
      <c r="W6" s="17" t="inlineStr">
        <is>
          <t>14-15</t>
        </is>
      </c>
      <c r="X6" s="17" t="n"/>
      <c r="Y6" s="17" t="n"/>
      <c r="Z6" s="17" t="n"/>
      <c r="AA6" s="17" t="n"/>
      <c r="AB6" s="17" t="n"/>
      <c r="AC6" s="17" t="n"/>
      <c r="AD6" s="17" t="n"/>
      <c r="AE6" s="63" t="n"/>
      <c r="AF6" s="63" t="n"/>
      <c r="AG6" s="63" t="n"/>
      <c r="AH6" s="63" t="n"/>
      <c r="AI6" s="63" t="n"/>
      <c r="AJ6" s="63" t="n"/>
      <c r="AK6" s="63" t="n"/>
      <c r="AL6" s="63" t="n"/>
      <c r="AM6" s="63" t="n"/>
      <c r="AN6" s="64" t="n"/>
      <c r="AO6" s="63" t="n"/>
      <c r="AP6" s="63" t="n"/>
      <c r="AQ6" s="63" t="n"/>
      <c r="AR6" s="63" t="n"/>
      <c r="AS6" s="63" t="n"/>
      <c r="AT6" s="63" t="n"/>
      <c r="AU6" s="63" t="n"/>
      <c r="AV6" s="63" t="n"/>
      <c r="AW6" s="63" t="n"/>
      <c r="AX6" s="63" t="n"/>
      <c r="AY6" s="63" t="n"/>
      <c r="AZ6" s="63" t="n"/>
      <c r="BA6" s="63" t="n"/>
      <c r="BB6" s="63" t="n"/>
      <c r="BC6" s="63" t="n"/>
      <c r="BD6" s="63" t="n"/>
      <c r="BE6" s="64" t="n"/>
      <c r="BF6" s="64" t="n"/>
      <c r="BG6" s="63" t="n"/>
      <c r="BH6" s="64" t="n"/>
      <c r="BI6" s="63" t="n"/>
      <c r="BJ6" s="63" t="n"/>
      <c r="BK6" s="63" t="n"/>
      <c r="BL6" s="63" t="n"/>
      <c r="BM6" s="63" t="n"/>
      <c r="BN6" s="64" t="n"/>
      <c r="BO6" s="64" t="n"/>
      <c r="BP6" s="63" t="n"/>
      <c r="BQ6" s="64" t="n"/>
      <c r="BR6" s="63" t="n"/>
    </row>
    <row r="7" customFormat="1" s="34">
      <c r="A7" s="63" t="n"/>
      <c r="B7" s="63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37" t="inlineStr">
        <is>
          <t>005-KIDS ALT 1</t>
        </is>
      </c>
      <c r="Q7" s="17" t="inlineStr">
        <is>
          <t>2-3</t>
        </is>
      </c>
      <c r="R7" s="17" t="inlineStr">
        <is>
          <t>3-4</t>
        </is>
      </c>
      <c r="S7" s="17" t="inlineStr">
        <is>
          <t>5-6</t>
        </is>
      </c>
      <c r="T7" s="17" t="inlineStr">
        <is>
          <t>7-8</t>
        </is>
      </c>
      <c r="U7" s="17" t="inlineStr">
        <is>
          <t>9-10</t>
        </is>
      </c>
      <c r="V7" s="17" t="inlineStr">
        <is>
          <t>11-12</t>
        </is>
      </c>
      <c r="W7" s="17" t="n">
        <v>13</v>
      </c>
      <c r="X7" s="17" t="n"/>
      <c r="Y7" s="17" t="n"/>
      <c r="Z7" s="17" t="n"/>
      <c r="AA7" s="17" t="n"/>
      <c r="AB7" s="17" t="n"/>
      <c r="AC7" s="17" t="n"/>
      <c r="AD7" s="17" t="n"/>
      <c r="AE7" s="63" t="n"/>
      <c r="AF7" s="63" t="n"/>
      <c r="AG7" s="63" t="n"/>
      <c r="AH7" s="63" t="n"/>
      <c r="AI7" s="63" t="n"/>
      <c r="AJ7" s="63" t="n"/>
      <c r="AK7" s="63" t="n"/>
      <c r="AL7" s="63" t="n"/>
      <c r="AM7" s="63" t="n"/>
      <c r="AN7" s="64" t="n"/>
      <c r="AO7" s="63" t="n"/>
      <c r="AP7" s="63" t="n"/>
      <c r="AQ7" s="63" t="n"/>
      <c r="AR7" s="63" t="n"/>
      <c r="AS7" s="63" t="n"/>
      <c r="AT7" s="63" t="n"/>
      <c r="AU7" s="63" t="n"/>
      <c r="AV7" s="63" t="n"/>
      <c r="AW7" s="63" t="n"/>
      <c r="AX7" s="63" t="n"/>
      <c r="AY7" s="63" t="n"/>
      <c r="AZ7" s="63" t="n"/>
      <c r="BA7" s="63" t="n"/>
      <c r="BB7" s="63" t="n"/>
      <c r="BC7" s="63" t="n"/>
      <c r="BD7" s="63" t="n"/>
      <c r="BE7" s="64" t="n"/>
      <c r="BF7" s="64" t="n"/>
      <c r="BG7" s="63" t="n"/>
      <c r="BH7" s="64" t="n"/>
      <c r="BI7" s="63" t="n"/>
      <c r="BJ7" s="63" t="n"/>
      <c r="BK7" s="63" t="n"/>
      <c r="BL7" s="63" t="n"/>
      <c r="BM7" s="63" t="n"/>
      <c r="BN7" s="64" t="n"/>
      <c r="BO7" s="64" t="n"/>
      <c r="BP7" s="63" t="n"/>
      <c r="BQ7" s="64" t="n"/>
      <c r="BR7" s="63" t="n"/>
    </row>
    <row r="8" customFormat="1" s="34">
      <c r="A8" s="63" t="n"/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3" t="n"/>
      <c r="O8" s="63" t="n"/>
      <c r="P8" s="37" t="inlineStr">
        <is>
          <t>006-LADIES LETTER</t>
        </is>
      </c>
      <c r="Q8" s="17" t="inlineStr">
        <is>
          <t>2XS</t>
        </is>
      </c>
      <c r="R8" s="17" t="inlineStr">
        <is>
          <t>XS</t>
        </is>
      </c>
      <c r="S8" s="17" t="inlineStr">
        <is>
          <t>S</t>
        </is>
      </c>
      <c r="T8" s="17" t="inlineStr">
        <is>
          <t>M</t>
        </is>
      </c>
      <c r="U8" s="17" t="inlineStr">
        <is>
          <t>L</t>
        </is>
      </c>
      <c r="V8" s="17" t="inlineStr">
        <is>
          <t>XL</t>
        </is>
      </c>
      <c r="W8" s="17" t="inlineStr">
        <is>
          <t>2XL</t>
        </is>
      </c>
      <c r="X8" s="17" t="inlineStr">
        <is>
          <t>3XL</t>
        </is>
      </c>
      <c r="Y8" s="17" t="n"/>
      <c r="Z8" s="17" t="n"/>
      <c r="AA8" s="17" t="n"/>
      <c r="AB8" s="17" t="n"/>
      <c r="AC8" s="17" t="n"/>
      <c r="AD8" s="17" t="n"/>
      <c r="AE8" s="63" t="n"/>
      <c r="AF8" s="63" t="n"/>
      <c r="AG8" s="63" t="n"/>
      <c r="AH8" s="63" t="n"/>
      <c r="AI8" s="63" t="n"/>
      <c r="AJ8" s="63" t="n"/>
      <c r="AK8" s="63" t="n"/>
      <c r="AL8" s="63" t="n"/>
      <c r="AM8" s="63" t="n"/>
      <c r="AN8" s="64" t="n"/>
      <c r="AO8" s="63" t="n"/>
      <c r="AP8" s="63" t="n"/>
      <c r="AQ8" s="63" t="n"/>
      <c r="AR8" s="63" t="n"/>
      <c r="AS8" s="63" t="n"/>
      <c r="AT8" s="63" t="n"/>
      <c r="AU8" s="63" t="n"/>
      <c r="AV8" s="63" t="n"/>
      <c r="AW8" s="63" t="n"/>
      <c r="AX8" s="63" t="n"/>
      <c r="AY8" s="63" t="n"/>
      <c r="AZ8" s="63" t="n"/>
      <c r="BA8" s="63" t="n"/>
      <c r="BB8" s="63" t="n"/>
      <c r="BC8" s="63" t="n"/>
      <c r="BD8" s="63" t="n"/>
      <c r="BE8" s="64" t="n"/>
      <c r="BF8" s="64" t="n"/>
      <c r="BG8" s="63" t="n"/>
      <c r="BH8" s="64" t="n"/>
      <c r="BI8" s="63" t="n"/>
      <c r="BJ8" s="63" t="n"/>
      <c r="BK8" s="63" t="n"/>
      <c r="BL8" s="63" t="n"/>
      <c r="BM8" s="63" t="n"/>
      <c r="BN8" s="64" t="n"/>
      <c r="BO8" s="64" t="n"/>
      <c r="BP8" s="63" t="n"/>
      <c r="BQ8" s="64" t="n"/>
      <c r="BR8" s="63" t="n"/>
    </row>
    <row r="9" customFormat="1" s="34">
      <c r="A9" s="63" t="n"/>
      <c r="B9" s="63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3" t="n"/>
      <c r="M9" s="63" t="n"/>
      <c r="N9" s="63" t="n"/>
      <c r="O9" s="63" t="n"/>
      <c r="P9" s="37" t="inlineStr">
        <is>
          <t>007-KIDS ALT 2</t>
        </is>
      </c>
      <c r="Q9" s="5" t="inlineStr">
        <is>
          <t>3-4</t>
        </is>
      </c>
      <c r="R9" s="5" t="inlineStr">
        <is>
          <t>4-5</t>
        </is>
      </c>
      <c r="S9" s="17" t="inlineStr">
        <is>
          <t>6-7</t>
        </is>
      </c>
      <c r="T9" s="17" t="inlineStr">
        <is>
          <t>8-9</t>
        </is>
      </c>
      <c r="U9" s="17" t="inlineStr">
        <is>
          <t>10-11</t>
        </is>
      </c>
      <c r="V9" s="17" t="inlineStr">
        <is>
          <t>12-13</t>
        </is>
      </c>
      <c r="W9" s="17" t="n"/>
      <c r="X9" s="17" t="n"/>
      <c r="Y9" s="17" t="n"/>
      <c r="Z9" s="17" t="n"/>
      <c r="AA9" s="17" t="n"/>
      <c r="AB9" s="17" t="n"/>
      <c r="AC9" s="17" t="n"/>
      <c r="AD9" s="17" t="n"/>
      <c r="AE9" s="63" t="n"/>
      <c r="AF9" s="63" t="n"/>
      <c r="AG9" s="63" t="n"/>
      <c r="AH9" s="63" t="n"/>
      <c r="AI9" s="63" t="n"/>
      <c r="AJ9" s="63" t="n"/>
      <c r="AK9" s="63" t="n"/>
      <c r="AL9" s="63" t="n"/>
      <c r="AM9" s="63" t="n"/>
      <c r="AN9" s="64" t="n"/>
      <c r="AO9" s="63" t="n"/>
      <c r="AP9" s="63" t="n"/>
      <c r="AQ9" s="63" t="n"/>
      <c r="AR9" s="63" t="n"/>
      <c r="AS9" s="63" t="n"/>
      <c r="AT9" s="63" t="n"/>
      <c r="AU9" s="63" t="n"/>
      <c r="AV9" s="63" t="n"/>
      <c r="AW9" s="63" t="n"/>
      <c r="AX9" s="63" t="n"/>
      <c r="AY9" s="63" t="n"/>
      <c r="AZ9" s="63" t="n"/>
      <c r="BA9" s="63" t="n"/>
      <c r="BB9" s="63" t="n"/>
      <c r="BC9" s="63" t="n"/>
      <c r="BD9" s="63" t="n"/>
      <c r="BE9" s="64" t="n"/>
      <c r="BF9" s="64" t="n"/>
      <c r="BG9" s="63" t="n"/>
      <c r="BH9" s="64" t="n"/>
      <c r="BI9" s="63" t="n"/>
      <c r="BJ9" s="63" t="n"/>
      <c r="BK9" s="63" t="n"/>
      <c r="BL9" s="63" t="n"/>
      <c r="BM9" s="63" t="n"/>
      <c r="BN9" s="64" t="n"/>
      <c r="BO9" s="64" t="n"/>
      <c r="BP9" s="63" t="n"/>
      <c r="BQ9" s="64" t="n"/>
      <c r="BR9" s="63" t="n"/>
    </row>
    <row r="10" ht="30" customFormat="1" customHeight="1" s="34">
      <c r="A10" s="63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37" t="inlineStr">
        <is>
          <t>008-BABY</t>
        </is>
      </c>
      <c r="Q10" s="5" t="inlineStr">
        <is>
          <t>0-3M</t>
        </is>
      </c>
      <c r="R10" s="5" t="inlineStr">
        <is>
          <t>3-6M</t>
        </is>
      </c>
      <c r="S10" s="5" t="inlineStr">
        <is>
          <t>6-9M</t>
        </is>
      </c>
      <c r="T10" s="5" t="inlineStr">
        <is>
          <t>9-12M</t>
        </is>
      </c>
      <c r="U10" s="5" t="inlineStr">
        <is>
          <t>12-18M</t>
        </is>
      </c>
      <c r="V10" s="42" t="inlineStr">
        <is>
          <t>18-24M/ 18-23M</t>
        </is>
      </c>
      <c r="W10" s="5" t="n"/>
      <c r="X10" s="5" t="n"/>
      <c r="Y10" s="5" t="n"/>
      <c r="Z10" s="5" t="n"/>
      <c r="AA10" s="5" t="n"/>
      <c r="AB10" s="5" t="n"/>
      <c r="AC10" s="5" t="n"/>
      <c r="AD10" s="5" t="n"/>
      <c r="AE10" s="63" t="n"/>
      <c r="AF10" s="63" t="n"/>
      <c r="AG10" s="63" t="n"/>
      <c r="AH10" s="63" t="n"/>
      <c r="AI10" s="63" t="n"/>
      <c r="AJ10" s="63" t="n"/>
      <c r="AK10" s="63" t="n"/>
      <c r="AL10" s="63" t="n"/>
      <c r="AM10" s="63" t="n"/>
      <c r="AN10" s="64" t="n"/>
      <c r="AO10" s="63" t="n"/>
      <c r="AP10" s="63" t="n"/>
      <c r="AQ10" s="63" t="n"/>
      <c r="AR10" s="63" t="n"/>
      <c r="AS10" s="63" t="n"/>
      <c r="AT10" s="63" t="n"/>
      <c r="AU10" s="63" t="n"/>
      <c r="AV10" s="63" t="n"/>
      <c r="AW10" s="63" t="n"/>
      <c r="AX10" s="63" t="n"/>
      <c r="AY10" s="63" t="n"/>
      <c r="AZ10" s="63" t="n"/>
      <c r="BA10" s="63" t="n"/>
      <c r="BB10" s="63" t="n"/>
      <c r="BC10" s="63" t="n"/>
      <c r="BD10" s="63" t="n"/>
      <c r="BE10" s="64" t="n"/>
      <c r="BF10" s="64" t="n"/>
      <c r="BG10" s="63" t="n"/>
      <c r="BH10" s="64" t="n"/>
      <c r="BI10" s="63" t="n"/>
      <c r="BJ10" s="63" t="n"/>
      <c r="BK10" s="63" t="n"/>
      <c r="BL10" s="63" t="n"/>
      <c r="BM10" s="63" t="n"/>
      <c r="BN10" s="64" t="n"/>
      <c r="BO10" s="64" t="n"/>
      <c r="BP10" s="63" t="n"/>
      <c r="BQ10" s="64" t="n"/>
      <c r="BR10" s="63" t="n"/>
    </row>
    <row r="11" ht="30" customFormat="1" customHeight="1" s="34">
      <c r="A11" s="63" t="n"/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25" t="inlineStr">
        <is>
          <t>009-ACCESSORIES/ HEADWEAR</t>
        </is>
      </c>
      <c r="Q11" s="43" t="inlineStr">
        <is>
          <t>ONE SIZE</t>
        </is>
      </c>
      <c r="R11" s="17" t="inlineStr">
        <is>
          <t>BABY</t>
        </is>
      </c>
      <c r="S11" s="17" t="inlineStr">
        <is>
          <t>JUNIOR</t>
        </is>
      </c>
      <c r="T11" s="17" t="inlineStr">
        <is>
          <t>ADULT</t>
        </is>
      </c>
      <c r="U11" s="17" t="inlineStr">
        <is>
          <t>6-12 M</t>
        </is>
      </c>
      <c r="V11" s="17" t="inlineStr">
        <is>
          <t>1-3 YRS</t>
        </is>
      </c>
      <c r="W11" s="17" t="inlineStr">
        <is>
          <t>INFANT</t>
        </is>
      </c>
      <c r="X11" s="17" t="n"/>
      <c r="Y11" s="17" t="n"/>
      <c r="Z11" s="17" t="n"/>
      <c r="AA11" s="17" t="n"/>
      <c r="AB11" s="17" t="n"/>
      <c r="AC11" s="17" t="n"/>
      <c r="AD11" s="17" t="n"/>
      <c r="AE11" s="63" t="n"/>
      <c r="AF11" s="63" t="n"/>
      <c r="AG11" s="63" t="n"/>
      <c r="AH11" s="63" t="n"/>
      <c r="AI11" s="63" t="n"/>
      <c r="AJ11" s="63" t="n"/>
      <c r="AK11" s="63" t="n"/>
      <c r="AL11" s="63" t="n"/>
      <c r="AM11" s="63" t="n"/>
      <c r="AN11" s="64" t="n"/>
      <c r="AO11" s="63" t="n"/>
      <c r="AP11" s="63" t="n"/>
      <c r="AQ11" s="63" t="n"/>
      <c r="AR11" s="63" t="n"/>
      <c r="AS11" s="63" t="n"/>
      <c r="AT11" s="63" t="n"/>
      <c r="AU11" s="63" t="n"/>
      <c r="AV11" s="63" t="n"/>
      <c r="AW11" s="63" t="n"/>
      <c r="AX11" s="63" t="n"/>
      <c r="AY11" s="63" t="n"/>
      <c r="AZ11" s="63" t="n"/>
      <c r="BA11" s="63" t="n"/>
      <c r="BB11" s="63" t="n"/>
      <c r="BC11" s="63" t="n"/>
      <c r="BD11" s="63" t="n"/>
      <c r="BE11" s="64" t="n"/>
      <c r="BF11" s="64" t="n"/>
      <c r="BG11" s="63" t="n"/>
      <c r="BH11" s="64" t="n"/>
      <c r="BI11" s="63" t="n"/>
      <c r="BJ11" s="63" t="n"/>
      <c r="BK11" s="63" t="n"/>
      <c r="BL11" s="63" t="n"/>
      <c r="BM11" s="63" t="n"/>
      <c r="BN11" s="64" t="n"/>
      <c r="BO11" s="64" t="n"/>
      <c r="BP11" s="63" t="n"/>
      <c r="BQ11" s="64" t="n"/>
      <c r="BR11" s="63" t="n"/>
    </row>
    <row r="12" ht="13.5" customFormat="1" customHeight="1" s="34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37" t="inlineStr">
        <is>
          <t>010-MENS FOOTWEAR</t>
        </is>
      </c>
      <c r="Q12" s="44" t="inlineStr">
        <is>
          <t>3-6</t>
        </is>
      </c>
      <c r="R12" s="5" t="inlineStr">
        <is>
          <t>7-11</t>
        </is>
      </c>
      <c r="S12" s="5" t="inlineStr">
        <is>
          <t>7-8</t>
        </is>
      </c>
      <c r="T12" s="5" t="inlineStr">
        <is>
          <t>9-10</t>
        </is>
      </c>
      <c r="U12" s="5" t="inlineStr">
        <is>
          <t>11-12</t>
        </is>
      </c>
      <c r="V12" s="5" t="n"/>
      <c r="W12" s="5" t="n"/>
      <c r="X12" s="17" t="n"/>
      <c r="Y12" s="17" t="n"/>
      <c r="Z12" s="17" t="n"/>
      <c r="AA12" s="17" t="n"/>
      <c r="AB12" s="17" t="n"/>
      <c r="AC12" s="17" t="n"/>
      <c r="AD12" s="17" t="n"/>
      <c r="AE12" s="63" t="n"/>
      <c r="AF12" s="63" t="n"/>
      <c r="AG12" s="63" t="n"/>
      <c r="AH12" s="63" t="n"/>
      <c r="AI12" s="63" t="n"/>
      <c r="AJ12" s="63" t="n"/>
      <c r="AK12" s="63" t="n"/>
      <c r="AL12" s="63" t="n"/>
      <c r="AM12" s="63" t="n"/>
      <c r="AN12" s="64" t="n"/>
      <c r="AO12" s="63" t="n"/>
      <c r="AP12" s="63" t="n"/>
      <c r="AQ12" s="63" t="n"/>
      <c r="AR12" s="63" t="n"/>
      <c r="AS12" s="63" t="n"/>
      <c r="AT12" s="63" t="n"/>
      <c r="AU12" s="63" t="n"/>
      <c r="AV12" s="63" t="n"/>
      <c r="AW12" s="63" t="n"/>
      <c r="AX12" s="63" t="n"/>
      <c r="AY12" s="63" t="n"/>
      <c r="AZ12" s="63" t="n"/>
      <c r="BA12" s="63" t="n"/>
      <c r="BB12" s="63" t="n"/>
      <c r="BC12" s="63" t="n"/>
      <c r="BD12" s="63" t="n"/>
      <c r="BE12" s="64" t="n"/>
      <c r="BF12" s="64" t="n"/>
      <c r="BG12" s="63" t="n"/>
      <c r="BH12" s="64" t="n"/>
      <c r="BI12" s="63" t="n"/>
      <c r="BJ12" s="63" t="n"/>
      <c r="BK12" s="63" t="n"/>
      <c r="BL12" s="63" t="n"/>
      <c r="BM12" s="63" t="n"/>
      <c r="BN12" s="64" t="n"/>
      <c r="BO12" s="64" t="n"/>
      <c r="BP12" s="63" t="n"/>
      <c r="BQ12" s="64" t="n"/>
      <c r="BR12" s="63" t="n"/>
    </row>
    <row r="13" ht="24" customFormat="1" customHeight="1" s="34">
      <c r="A13" s="63" t="n"/>
      <c r="B13" s="63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37" t="inlineStr">
        <is>
          <t>011-KIDS FOOTWEAR</t>
        </is>
      </c>
      <c r="Q13" s="43" t="inlineStr">
        <is>
          <t>10-11</t>
        </is>
      </c>
      <c r="R13" s="5" t="inlineStr">
        <is>
          <t>12-13</t>
        </is>
      </c>
      <c r="S13" s="5" t="inlineStr">
        <is>
          <t>1-2</t>
        </is>
      </c>
      <c r="T13" s="5" t="inlineStr">
        <is>
          <t>3-4</t>
        </is>
      </c>
      <c r="U13" s="5" t="inlineStr">
        <is>
          <t>5-6</t>
        </is>
      </c>
      <c r="V13" s="5" t="n"/>
      <c r="W13" s="5" t="n"/>
      <c r="X13" s="17" t="n"/>
      <c r="Y13" s="17" t="n"/>
      <c r="Z13" s="17" t="n"/>
      <c r="AA13" s="17" t="n"/>
      <c r="AB13" s="17" t="n"/>
      <c r="AC13" s="17" t="n"/>
      <c r="AD13" s="17" t="n"/>
      <c r="AE13" s="63" t="n"/>
      <c r="AF13" s="63" t="n"/>
      <c r="AG13" s="63" t="n"/>
      <c r="AH13" s="63" t="n"/>
      <c r="AI13" s="63" t="n"/>
      <c r="AJ13" s="63" t="n"/>
      <c r="AK13" s="63" t="n"/>
      <c r="AL13" s="63" t="n"/>
      <c r="AM13" s="63" t="n"/>
      <c r="AN13" s="64" t="n"/>
      <c r="AO13" s="63" t="n"/>
      <c r="AP13" s="45" t="inlineStr">
        <is>
          <t>NOT REQUIRED - APPROVED</t>
        </is>
      </c>
      <c r="AQ13" s="63" t="n"/>
      <c r="AR13" s="63" t="n"/>
      <c r="AS13" s="65" t="n"/>
      <c r="AT13" s="63" t="n"/>
      <c r="AU13" s="63" t="n"/>
      <c r="AV13" s="65" t="n"/>
      <c r="AW13" s="63" t="n"/>
      <c r="AX13" s="63" t="n"/>
      <c r="AY13" s="65" t="n"/>
      <c r="AZ13" s="63" t="n"/>
      <c r="BA13" s="63" t="n"/>
      <c r="BB13" s="63" t="n"/>
      <c r="BC13" s="63" t="n"/>
      <c r="BD13" s="63" t="n"/>
      <c r="BE13" s="64" t="n"/>
      <c r="BF13" s="64" t="n"/>
      <c r="BG13" s="63" t="n"/>
      <c r="BH13" s="64" t="n"/>
      <c r="BI13" s="63" t="n"/>
      <c r="BJ13" s="63" t="n"/>
      <c r="BK13" s="63" t="n"/>
      <c r="BL13" s="63" t="n"/>
      <c r="BM13" s="63" t="n"/>
      <c r="BN13" s="64" t="n"/>
      <c r="BO13" s="64" t="n"/>
      <c r="BP13" s="63" t="n"/>
      <c r="BQ13" s="64" t="n"/>
      <c r="BR13" s="63" t="n"/>
    </row>
    <row r="14" customFormat="1" s="34">
      <c r="A14" s="63" t="n"/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37" t="inlineStr">
        <is>
          <t>012-DOG</t>
        </is>
      </c>
      <c r="Q14" s="43" t="inlineStr">
        <is>
          <t>XS</t>
        </is>
      </c>
      <c r="R14" s="17" t="inlineStr">
        <is>
          <t>S</t>
        </is>
      </c>
      <c r="S14" s="17" t="inlineStr">
        <is>
          <t>M</t>
        </is>
      </c>
      <c r="T14" s="17" t="inlineStr">
        <is>
          <t>L</t>
        </is>
      </c>
      <c r="U14" s="17" t="inlineStr">
        <is>
          <t>XL</t>
        </is>
      </c>
      <c r="V14" s="17" t="inlineStr">
        <is>
          <t>S/M</t>
        </is>
      </c>
      <c r="W14" s="17" t="inlineStr">
        <is>
          <t>M/L</t>
        </is>
      </c>
      <c r="X14" s="17" t="n"/>
      <c r="Y14" s="17" t="n"/>
      <c r="Z14" s="17" t="n"/>
      <c r="AA14" s="17" t="n"/>
      <c r="AB14" s="17" t="n"/>
      <c r="AC14" s="17" t="n"/>
      <c r="AD14" s="17" t="n"/>
      <c r="AE14" s="63" t="n"/>
      <c r="AF14" s="63" t="n"/>
      <c r="AG14" s="63" t="n"/>
      <c r="AH14" s="63" t="n"/>
      <c r="AI14" s="63" t="n"/>
      <c r="AJ14" s="63" t="n"/>
      <c r="AK14" s="63" t="n"/>
      <c r="AL14" s="63" t="n"/>
      <c r="AM14" s="63" t="n"/>
      <c r="AN14" s="66" t="n"/>
      <c r="AO14" s="63" t="n"/>
      <c r="AP14" s="45" t="inlineStr">
        <is>
          <t>OUTSTANDING</t>
        </is>
      </c>
      <c r="AQ14" s="63" t="n"/>
      <c r="AR14" s="63" t="n"/>
      <c r="AS14" s="45" t="inlineStr">
        <is>
          <t>OUTSTANDING</t>
        </is>
      </c>
      <c r="AT14" s="63" t="n"/>
      <c r="AU14" s="63" t="n"/>
      <c r="AV14" s="45" t="inlineStr">
        <is>
          <t>OUTSTANDING</t>
        </is>
      </c>
      <c r="AW14" s="63" t="n"/>
      <c r="AX14" s="63" t="n"/>
      <c r="AY14" s="45" t="inlineStr">
        <is>
          <t>OUTSTANDING</t>
        </is>
      </c>
      <c r="AZ14" s="63" t="n"/>
      <c r="BA14" s="63" t="n"/>
      <c r="BB14" s="63" t="n"/>
      <c r="BC14" s="63" t="n"/>
      <c r="BD14" s="63" t="n"/>
      <c r="BE14" s="66" t="n"/>
      <c r="BF14" s="64" t="n"/>
      <c r="BG14" s="63" t="n"/>
      <c r="BH14" s="66" t="n"/>
      <c r="BI14" s="63" t="n"/>
      <c r="BJ14" s="63" t="n"/>
      <c r="BK14" s="63" t="n"/>
      <c r="BL14" s="63" t="n"/>
      <c r="BM14" s="63" t="n"/>
      <c r="BN14" s="66" t="n"/>
      <c r="BO14" s="66" t="n"/>
      <c r="BP14" s="63" t="n"/>
      <c r="BQ14" s="66" t="n"/>
      <c r="BR14" s="63" t="n"/>
    </row>
    <row r="15" ht="24" customFormat="1" customHeight="1" s="34">
      <c r="A15" s="63" t="n"/>
      <c r="B15" s="63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3" t="n"/>
      <c r="N15" s="63" t="n"/>
      <c r="O15" s="63" t="n"/>
      <c r="P15" s="37" t="inlineStr">
        <is>
          <t>013-LADIES DUAL</t>
        </is>
      </c>
      <c r="Q15" s="44" t="inlineStr">
        <is>
          <t>8-10</t>
        </is>
      </c>
      <c r="R15" s="5" t="inlineStr">
        <is>
          <t>12-14</t>
        </is>
      </c>
      <c r="S15" s="5" t="inlineStr">
        <is>
          <t>16-18</t>
        </is>
      </c>
      <c r="T15" s="5" t="inlineStr">
        <is>
          <t>20-22</t>
        </is>
      </c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63" t="n"/>
      <c r="AF15" s="63" t="n"/>
      <c r="AG15" s="63" t="n"/>
      <c r="AH15" s="63" t="n"/>
      <c r="AI15" s="63" t="n"/>
      <c r="AJ15" s="63" t="n"/>
      <c r="AK15" s="63" t="n"/>
      <c r="AL15" s="63" t="n"/>
      <c r="AM15" s="63" t="n"/>
      <c r="AN15" s="31" t="inlineStr">
        <is>
          <t>Source Lab to accept</t>
        </is>
      </c>
      <c r="AO15" s="63" t="n"/>
      <c r="AP15" s="45" t="inlineStr">
        <is>
          <t>P23 ADVISE UPDATE</t>
        </is>
      </c>
      <c r="AQ15" s="63" t="n"/>
      <c r="AR15" s="63" t="n"/>
      <c r="AS15" s="45" t="inlineStr">
        <is>
          <t>P23 ADVISE UPDATE</t>
        </is>
      </c>
      <c r="AT15" s="63" t="n"/>
      <c r="AU15" s="63" t="n"/>
      <c r="AV15" s="45" t="inlineStr">
        <is>
          <t>P23 ADVISE UPDATE</t>
        </is>
      </c>
      <c r="AW15" s="63" t="n"/>
      <c r="AX15" s="63" t="n"/>
      <c r="AY15" s="45" t="inlineStr">
        <is>
          <t>P23 ADVISE UPDATE</t>
        </is>
      </c>
      <c r="AZ15" s="63" t="n"/>
      <c r="BA15" s="63" t="n"/>
      <c r="BB15" s="63" t="n"/>
      <c r="BC15" s="63" t="n"/>
      <c r="BD15" s="63" t="n"/>
      <c r="BE15" s="33" t="inlineStr">
        <is>
          <t>Source Lab to accept</t>
        </is>
      </c>
      <c r="BF15" s="64" t="n"/>
      <c r="BG15" s="63" t="n"/>
      <c r="BH15" s="31" t="inlineStr">
        <is>
          <t>Plus 60 days</t>
        </is>
      </c>
      <c r="BI15" s="61" t="inlineStr">
        <is>
          <t>Plus 5 days</t>
        </is>
      </c>
      <c r="BJ15" s="63" t="n"/>
      <c r="BK15" s="63" t="n"/>
      <c r="BL15" s="63" t="n"/>
      <c r="BM15" s="63" t="n"/>
      <c r="BN15" s="31" t="inlineStr">
        <is>
          <t>Source Lab to accept</t>
        </is>
      </c>
      <c r="BO15" s="31" t="inlineStr">
        <is>
          <t>Source Lab to accept</t>
        </is>
      </c>
      <c r="BP15" s="63" t="n"/>
      <c r="BQ15" s="31" t="inlineStr">
        <is>
          <t>IF FCL + 5 TO AT</t>
        </is>
      </c>
      <c r="BR15" s="63" t="n"/>
    </row>
    <row r="16" customFormat="1" s="34">
      <c r="A16" s="63" t="n"/>
      <c r="B16" s="63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63" t="n"/>
      <c r="L16" s="63" t="n"/>
      <c r="M16" s="63" t="n"/>
      <c r="N16" s="63" t="n"/>
      <c r="O16" s="63" t="n"/>
      <c r="P16" s="37" t="inlineStr">
        <is>
          <t>014-KIDS DRY ROBE</t>
        </is>
      </c>
      <c r="Q16" s="44" t="inlineStr">
        <is>
          <t>5-9 YRS</t>
        </is>
      </c>
      <c r="R16" s="44" t="inlineStr">
        <is>
          <t>10-13YRS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63" t="n"/>
      <c r="AF16" s="63" t="n"/>
      <c r="AG16" s="63" t="n"/>
      <c r="AH16" s="63" t="n"/>
      <c r="AI16" s="63" t="n"/>
      <c r="AJ16" s="63" t="n"/>
      <c r="AK16" s="63" t="n"/>
      <c r="AL16" s="63" t="n"/>
      <c r="AM16" s="63" t="n"/>
      <c r="AN16" s="64" t="n"/>
      <c r="AO16" s="63" t="n"/>
      <c r="AP16" s="45" t="inlineStr">
        <is>
          <t>LATE</t>
        </is>
      </c>
      <c r="AQ16" s="63" t="n"/>
      <c r="AR16" s="63" t="n"/>
      <c r="AS16" s="45" t="inlineStr">
        <is>
          <t>LATE</t>
        </is>
      </c>
      <c r="AT16" s="63" t="n"/>
      <c r="AU16" s="63" t="n"/>
      <c r="AV16" s="45" t="inlineStr">
        <is>
          <t>LATE</t>
        </is>
      </c>
      <c r="AW16" s="63" t="n"/>
      <c r="AX16" s="63" t="n"/>
      <c r="AY16" s="45" t="inlineStr">
        <is>
          <t>LATE</t>
        </is>
      </c>
      <c r="AZ16" s="63" t="n"/>
      <c r="BA16" s="63" t="n"/>
      <c r="BB16" s="63" t="n"/>
      <c r="BC16" s="63" t="n"/>
      <c r="BD16" s="63" t="n"/>
      <c r="BE16" s="64" t="n"/>
      <c r="BF16" s="64" t="n"/>
      <c r="BG16" s="63" t="n"/>
      <c r="BH16" s="64" t="n"/>
      <c r="BI16" s="63" t="n"/>
      <c r="BJ16" s="63" t="n"/>
      <c r="BK16" s="63" t="n"/>
      <c r="BL16" s="63" t="n"/>
      <c r="BM16" s="63" t="n"/>
      <c r="BN16" s="64" t="n"/>
      <c r="BO16" s="64" t="n"/>
      <c r="BP16" s="63" t="n"/>
      <c r="BQ16" s="66" t="n"/>
      <c r="BR16" s="63" t="n"/>
    </row>
    <row r="17" customFormat="1" s="34">
      <c r="A17" s="63" t="n"/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37" t="inlineStr">
        <is>
          <t>015- KIDS 3-15</t>
        </is>
      </c>
      <c r="Q17" s="44" t="inlineStr">
        <is>
          <t>3/4</t>
        </is>
      </c>
      <c r="R17" s="44" t="inlineStr">
        <is>
          <t>4/5</t>
        </is>
      </c>
      <c r="S17" s="5" t="inlineStr">
        <is>
          <t>5/6</t>
        </is>
      </c>
      <c r="T17" s="5" t="inlineStr">
        <is>
          <t>6/7</t>
        </is>
      </c>
      <c r="U17" s="5" t="inlineStr">
        <is>
          <t>7/8</t>
        </is>
      </c>
      <c r="V17" s="5" t="inlineStr">
        <is>
          <t>8/9</t>
        </is>
      </c>
      <c r="W17" s="5" t="inlineStr">
        <is>
          <t>9/10</t>
        </is>
      </c>
      <c r="X17" s="5" t="inlineStr">
        <is>
          <t>10/11</t>
        </is>
      </c>
      <c r="Y17" s="5" t="inlineStr">
        <is>
          <t>11/12</t>
        </is>
      </c>
      <c r="Z17" s="5" t="inlineStr">
        <is>
          <t>12/13</t>
        </is>
      </c>
      <c r="AA17" s="5" t="inlineStr">
        <is>
          <t>13/14</t>
        </is>
      </c>
      <c r="AB17" s="5" t="inlineStr">
        <is>
          <t>14/15</t>
        </is>
      </c>
      <c r="AC17" s="5" t="n"/>
      <c r="AD17" s="5" t="n"/>
      <c r="AE17" s="63" t="n"/>
      <c r="AF17" s="63" t="n"/>
      <c r="AG17" s="63" t="n"/>
      <c r="AH17" s="63" t="n"/>
      <c r="AI17" s="63" t="n"/>
      <c r="AJ17" s="63" t="n"/>
      <c r="AK17" s="63" t="n"/>
      <c r="AL17" s="63" t="n"/>
      <c r="AM17" s="63" t="n"/>
      <c r="AN17" s="64" t="n"/>
      <c r="AO17" s="63" t="n"/>
      <c r="AP17" s="45" t="inlineStr">
        <is>
          <t>RECEIVED</t>
        </is>
      </c>
      <c r="AQ17" s="63" t="n"/>
      <c r="AR17" s="63" t="n"/>
      <c r="AS17" s="45" t="inlineStr">
        <is>
          <t>RECEIVED</t>
        </is>
      </c>
      <c r="AT17" s="63" t="n"/>
      <c r="AU17" s="63" t="n"/>
      <c r="AV17" s="45" t="inlineStr">
        <is>
          <t>RECEIVED</t>
        </is>
      </c>
      <c r="AW17" s="63" t="n"/>
      <c r="AX17" s="63" t="n"/>
      <c r="AY17" s="45" t="inlineStr">
        <is>
          <t>RECEIVED</t>
        </is>
      </c>
      <c r="AZ17" s="63" t="n"/>
      <c r="BA17" s="63" t="n"/>
      <c r="BB17" s="63" t="n"/>
      <c r="BC17" s="63" t="n"/>
      <c r="BD17" s="63" t="n"/>
      <c r="BE17" s="64" t="n"/>
      <c r="BF17" s="64" t="n"/>
      <c r="BG17" s="63" t="n"/>
      <c r="BH17" s="64" t="n"/>
      <c r="BI17" s="63" t="n"/>
      <c r="BJ17" s="63" t="n"/>
      <c r="BK17" s="63" t="n"/>
      <c r="BL17" s="63" t="n"/>
      <c r="BM17" s="63" t="n"/>
      <c r="BN17" s="64" t="n"/>
      <c r="BO17" s="64" t="n"/>
      <c r="BP17" s="63" t="n"/>
      <c r="BQ17" s="31" t="inlineStr">
        <is>
          <t>IF LCL + 7 TO AT</t>
        </is>
      </c>
      <c r="BR17" s="63" t="n"/>
    </row>
    <row r="18" customFormat="1" s="34">
      <c r="A18" s="65" t="n"/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37" t="inlineStr">
        <is>
          <t>016- KIDS 1-14</t>
        </is>
      </c>
      <c r="Q18" s="44" t="inlineStr">
        <is>
          <t>1</t>
        </is>
      </c>
      <c r="R18" s="44" t="inlineStr">
        <is>
          <t>2</t>
        </is>
      </c>
      <c r="S18" s="5" t="inlineStr">
        <is>
          <t>3</t>
        </is>
      </c>
      <c r="T18" s="5" t="inlineStr">
        <is>
          <t>4</t>
        </is>
      </c>
      <c r="U18" s="5" t="inlineStr">
        <is>
          <t>5</t>
        </is>
      </c>
      <c r="V18" s="5" t="inlineStr">
        <is>
          <t>6</t>
        </is>
      </c>
      <c r="W18" s="5" t="inlineStr">
        <is>
          <t>7</t>
        </is>
      </c>
      <c r="X18" s="5" t="inlineStr">
        <is>
          <t>8</t>
        </is>
      </c>
      <c r="Y18" s="5" t="inlineStr">
        <is>
          <t>9</t>
        </is>
      </c>
      <c r="Z18" s="5" t="inlineStr">
        <is>
          <t>10</t>
        </is>
      </c>
      <c r="AA18" s="5" t="inlineStr">
        <is>
          <t>11</t>
        </is>
      </c>
      <c r="AB18" s="5" t="inlineStr">
        <is>
          <t>12</t>
        </is>
      </c>
      <c r="AC18" s="5" t="inlineStr">
        <is>
          <t>13</t>
        </is>
      </c>
      <c r="AD18" s="5" t="inlineStr">
        <is>
          <t>14</t>
        </is>
      </c>
      <c r="AE18" s="65" t="n"/>
      <c r="AF18" s="65" t="n"/>
      <c r="AG18" s="65" t="n"/>
      <c r="AH18" s="65" t="n"/>
      <c r="AI18" s="65" t="n"/>
      <c r="AJ18" s="65" t="n"/>
      <c r="AK18" s="65" t="n"/>
      <c r="AL18" s="65" t="n"/>
      <c r="AM18" s="65" t="n"/>
      <c r="AN18" s="66" t="n"/>
      <c r="AO18" s="65" t="n"/>
      <c r="AP18" s="45" t="inlineStr">
        <is>
          <t>APPROVED</t>
        </is>
      </c>
      <c r="AQ18" s="65" t="n"/>
      <c r="AR18" s="65" t="n"/>
      <c r="AS18" s="45" t="inlineStr">
        <is>
          <t>APPROVED</t>
        </is>
      </c>
      <c r="AT18" s="65" t="n"/>
      <c r="AU18" s="65" t="n"/>
      <c r="AV18" s="45" t="inlineStr">
        <is>
          <t>APPROVED</t>
        </is>
      </c>
      <c r="AW18" s="65" t="n"/>
      <c r="AX18" s="65" t="n"/>
      <c r="AY18" s="45" t="inlineStr">
        <is>
          <t>APPROVED</t>
        </is>
      </c>
      <c r="AZ18" s="65" t="n"/>
      <c r="BA18" s="65" t="n"/>
      <c r="BB18" s="65" t="n"/>
      <c r="BC18" s="65" t="n"/>
      <c r="BD18" s="65" t="n"/>
      <c r="BE18" s="66" t="n"/>
      <c r="BF18" s="66" t="n"/>
      <c r="BG18" s="65" t="n"/>
      <c r="BH18" s="66" t="n"/>
      <c r="BI18" s="65" t="n"/>
      <c r="BJ18" s="65" t="n"/>
      <c r="BK18" s="65" t="n"/>
      <c r="BL18" s="65" t="n"/>
      <c r="BM18" s="65" t="n"/>
      <c r="BN18" s="66" t="n"/>
      <c r="BO18" s="66" t="n"/>
      <c r="BP18" s="65" t="n"/>
      <c r="BQ18" s="66" t="n"/>
      <c r="BR18" s="65" t="n"/>
    </row>
    <row r="19" ht="16.5" customHeight="1">
      <c r="P19" s="37" t="inlineStr">
        <is>
          <t>017- KIDS ALT 3</t>
        </is>
      </c>
      <c r="Q19" s="44" t="inlineStr">
        <is>
          <t>3-4</t>
        </is>
      </c>
      <c r="R19" s="44" t="inlineStr">
        <is>
          <t>5-6</t>
        </is>
      </c>
      <c r="S19" s="5" t="inlineStr">
        <is>
          <t>7-8</t>
        </is>
      </c>
      <c r="T19" s="5" t="inlineStr">
        <is>
          <t>9-10</t>
        </is>
      </c>
      <c r="U19" s="5" t="inlineStr">
        <is>
          <t>11-12</t>
        </is>
      </c>
      <c r="V19" s="5" t="inlineStr">
        <is>
          <t>13-14</t>
        </is>
      </c>
      <c r="W19" s="5" t="inlineStr">
        <is>
          <t>15-16</t>
        </is>
      </c>
      <c r="X19" s="5" t="n"/>
      <c r="Y19" s="5" t="n"/>
      <c r="Z19" s="5" t="n"/>
      <c r="AA19" s="5" t="n"/>
      <c r="AB19" s="5" t="n"/>
      <c r="AC19" s="5" t="n"/>
      <c r="AD19" s="5" t="n"/>
    </row>
    <row r="20" ht="16.5" customHeight="1">
      <c r="P20" s="37" t="inlineStr">
        <is>
          <t>018 - SOCKS</t>
        </is>
      </c>
      <c r="Q20" s="44" t="inlineStr">
        <is>
          <t>K 12-3</t>
        </is>
      </c>
      <c r="R20" s="44" t="inlineStr">
        <is>
          <t>K 3-6</t>
        </is>
      </c>
      <c r="S20" s="5" t="inlineStr">
        <is>
          <t>A 3-6</t>
        </is>
      </c>
      <c r="T20" s="5" t="inlineStr">
        <is>
          <t>A 7-11</t>
        </is>
      </c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 ht="16.5" customHeight="1">
      <c r="P21" s="37" t="inlineStr">
        <is>
          <t>019 - BABY SWIM</t>
        </is>
      </c>
      <c r="Q21" s="44" t="inlineStr">
        <is>
          <t>3-6M</t>
        </is>
      </c>
      <c r="R21" s="44" t="inlineStr">
        <is>
          <t>6-12M</t>
        </is>
      </c>
      <c r="S21" s="5" t="inlineStr">
        <is>
          <t>12-18M</t>
        </is>
      </c>
      <c r="T21" s="5" t="inlineStr">
        <is>
          <t>18-24M</t>
        </is>
      </c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  <row r="22" ht="16.5" customHeight="1">
      <c r="P22" s="37" t="inlineStr">
        <is>
          <t>020 - MENS DENIM</t>
        </is>
      </c>
      <c r="Q22" s="44" t="inlineStr">
        <is>
          <t>28</t>
        </is>
      </c>
      <c r="R22" s="44" t="inlineStr">
        <is>
          <t>30</t>
        </is>
      </c>
      <c r="S22" s="5" t="inlineStr">
        <is>
          <t>32</t>
        </is>
      </c>
      <c r="T22" s="5" t="inlineStr">
        <is>
          <t>34</t>
        </is>
      </c>
      <c r="U22" s="5" t="inlineStr">
        <is>
          <t>36</t>
        </is>
      </c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 ht="16.5" customHeight="1">
      <c r="A23" s="8" t="n">
        <v>5050</v>
      </c>
      <c r="B23" s="8" t="n">
        <v>4769</v>
      </c>
      <c r="C23" s="8" t="inlineStr">
        <is>
          <t>Y</t>
        </is>
      </c>
      <c r="D23" s="8" t="inlineStr">
        <is>
          <t>STICHD</t>
        </is>
      </c>
      <c r="E23" s="8" t="inlineStr">
        <is>
          <t>POLY</t>
        </is>
      </c>
      <c r="F23" s="8" t="n">
        <v>4500050747</v>
      </c>
      <c r="G23" s="8" t="inlineStr">
        <is>
          <t>NEW</t>
        </is>
      </c>
      <c r="H23" s="8" t="inlineStr">
        <is>
          <t>SS26</t>
        </is>
      </c>
      <c r="I23" s="8" t="inlineStr">
        <is>
          <t>PRIME-23</t>
        </is>
      </c>
      <c r="J23" s="8" t="inlineStr">
        <is>
          <t>FOB</t>
        </is>
      </c>
      <c r="K23" s="8" t="inlineStr">
        <is>
          <t>MATTHEW</t>
        </is>
      </c>
      <c r="L23" s="8" t="inlineStr">
        <is>
          <t>S003400A-0792-MCI</t>
        </is>
      </c>
      <c r="M23" s="8" t="n">
        <v>701244220</v>
      </c>
      <c r="N23" s="8" t="inlineStr">
        <is>
          <t>MCI MENS PART SUB POLY T-SHIRT</t>
        </is>
      </c>
      <c r="O23" s="8" t="inlineStr">
        <is>
          <t>NAVAL ACADEMY</t>
        </is>
      </c>
      <c r="P23" s="9" t="inlineStr">
        <is>
          <t>001</t>
        </is>
      </c>
      <c r="Q23" s="10" t="n"/>
      <c r="R23" s="10" t="n"/>
      <c r="S23" s="10" t="n">
        <v>58</v>
      </c>
      <c r="T23" s="10" t="n">
        <v>112</v>
      </c>
      <c r="U23" s="10" t="n">
        <v>115</v>
      </c>
      <c r="V23" s="10" t="n">
        <v>75</v>
      </c>
      <c r="W23" s="10" t="n">
        <v>40</v>
      </c>
      <c r="X23" s="10" t="n"/>
      <c r="Y23" s="10" t="n"/>
      <c r="Z23" s="10" t="n"/>
      <c r="AA23" s="10" t="n"/>
      <c r="AB23" s="10" t="n"/>
      <c r="AC23" s="10" t="n"/>
      <c r="AD23" s="10" t="n"/>
      <c r="AE23" s="10">
        <f>SUM(Q19:AD19)</f>
        <v/>
      </c>
      <c r="AF23" s="11" t="n">
        <v>6.05</v>
      </c>
      <c r="AG23" s="11">
        <f>AE19*AF19</f>
        <v/>
      </c>
      <c r="AH23" s="12" t="n">
        <v>45995</v>
      </c>
      <c r="AI23" s="12" t="n">
        <v>45995</v>
      </c>
      <c r="AJ23" s="12" t="n">
        <v>45996</v>
      </c>
      <c r="AK23" s="12" t="n"/>
      <c r="AL23" s="12" t="n"/>
      <c r="AM23" s="12" t="n">
        <v>46073</v>
      </c>
      <c r="AN23" s="12" t="n">
        <v>46137</v>
      </c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>
        <v>46137</v>
      </c>
      <c r="BF23" s="12" t="n"/>
      <c r="BG23" s="12" t="n">
        <v>46073</v>
      </c>
      <c r="BH23" s="13" t="n"/>
      <c r="BI23" s="12">
        <f>BE19+5</f>
        <v/>
      </c>
      <c r="BJ23" s="8">
        <f>IFERROR((VLOOKUP(BG19,[1]LOOKUPS!A:B,2,0))," ")</f>
        <v/>
      </c>
      <c r="BK23" s="8">
        <f>IFERROR((VLOOKUP(BI19,[1]LOOKUPS!A:B,2,0))," ")</f>
        <v/>
      </c>
      <c r="BL23" s="13" t="n"/>
      <c r="BM23" s="13" t="n"/>
      <c r="BN23" s="13" t="n"/>
      <c r="BO23" s="13" t="n"/>
      <c r="BP23" s="13" t="n"/>
      <c r="BQ23" s="13" t="n"/>
      <c r="BR23" s="8" t="inlineStr">
        <is>
          <t>AW08/03: DELIVERY ON TRACK; AW20/01: ON TRACK; AW07/01: on track; LW02/01: CONF EX-FTY; AW19/12: EX-FTY 25TH APRIL; MM REQ BEST DATE AS PO DATE DURING CN</t>
        </is>
      </c>
    </row>
    <row r="24" ht="16.5" customHeight="1">
      <c r="A24" s="8" t="n">
        <v>5050</v>
      </c>
      <c r="B24" s="8" t="n">
        <v>4769</v>
      </c>
      <c r="C24" s="8" t="inlineStr">
        <is>
          <t>Y</t>
        </is>
      </c>
      <c r="D24" s="8" t="inlineStr">
        <is>
          <t>STICHD</t>
        </is>
      </c>
      <c r="E24" s="8" t="inlineStr">
        <is>
          <t>POLY</t>
        </is>
      </c>
      <c r="F24" s="8" t="n">
        <v>4500050747</v>
      </c>
      <c r="G24" s="8" t="inlineStr">
        <is>
          <t>NEW</t>
        </is>
      </c>
      <c r="H24" s="8" t="inlineStr">
        <is>
          <t>SS26</t>
        </is>
      </c>
      <c r="I24" s="8" t="inlineStr">
        <is>
          <t>PRIME-23</t>
        </is>
      </c>
      <c r="J24" s="8" t="inlineStr">
        <is>
          <t>FOB</t>
        </is>
      </c>
      <c r="K24" s="8" t="inlineStr">
        <is>
          <t>MATTHEW</t>
        </is>
      </c>
      <c r="L24" s="8" t="inlineStr">
        <is>
          <t>S003401A-0792-MCI</t>
        </is>
      </c>
      <c r="M24" s="8" t="n">
        <v>701244221</v>
      </c>
      <c r="N24" s="8" t="inlineStr">
        <is>
          <t>MCI MENS LIGHTWEIGHT SHOWER JACKET</t>
        </is>
      </c>
      <c r="O24" s="8" t="inlineStr">
        <is>
          <t>NAVAL ACADEMY</t>
        </is>
      </c>
      <c r="P24" s="9" t="inlineStr">
        <is>
          <t>001</t>
        </is>
      </c>
      <c r="Q24" s="10" t="n"/>
      <c r="R24" s="10" t="n"/>
      <c r="S24" s="10" t="n">
        <v>60</v>
      </c>
      <c r="T24" s="10" t="n">
        <v>85</v>
      </c>
      <c r="U24" s="10" t="n">
        <v>135</v>
      </c>
      <c r="V24" s="10" t="n">
        <v>85</v>
      </c>
      <c r="W24" s="10" t="n">
        <v>35</v>
      </c>
      <c r="X24" s="10" t="n"/>
      <c r="Y24" s="10" t="n"/>
      <c r="Z24" s="10" t="n"/>
      <c r="AA24" s="10" t="n"/>
      <c r="AB24" s="10" t="n"/>
      <c r="AC24" s="10" t="n"/>
      <c r="AD24" s="10" t="n"/>
      <c r="AE24" s="10">
        <f>SUM(Q20:AD20)</f>
        <v/>
      </c>
      <c r="AF24" s="11" t="n">
        <v>14.5</v>
      </c>
      <c r="AG24" s="11">
        <f>AE20*AF20</f>
        <v/>
      </c>
      <c r="AH24" s="12" t="n">
        <v>45995</v>
      </c>
      <c r="AI24" s="12" t="n">
        <v>45995</v>
      </c>
      <c r="AJ24" s="12" t="n">
        <v>45996</v>
      </c>
      <c r="AK24" s="12" t="n"/>
      <c r="AL24" s="12" t="n"/>
      <c r="AM24" s="12" t="n">
        <v>46073</v>
      </c>
      <c r="AN24" s="12" t="n">
        <v>46137</v>
      </c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>
        <v>46137</v>
      </c>
      <c r="BF24" s="12" t="n"/>
      <c r="BG24" s="12" t="n">
        <v>46073</v>
      </c>
      <c r="BH24" s="13" t="n"/>
      <c r="BI24" s="12">
        <f>BE20+5</f>
        <v/>
      </c>
      <c r="BJ24" s="8">
        <f>IFERROR((VLOOKUP(BG20,[1]LOOKUPS!A:B,2,0))," ")</f>
        <v/>
      </c>
      <c r="BK24" s="8">
        <f>IFERROR((VLOOKUP(BI20,[1]LOOKUPS!A:B,2,0))," ")</f>
        <v/>
      </c>
      <c r="BL24" s="13" t="n"/>
      <c r="BM24" s="13" t="n"/>
      <c r="BN24" s="13" t="n"/>
      <c r="BO24" s="13" t="n"/>
      <c r="BP24" s="13" t="n"/>
      <c r="BQ24" s="13" t="n"/>
      <c r="BR24" s="8" t="inlineStr">
        <is>
          <t>AW08/03: DELIVERY ON TRACK; AW20/01: ON TRACK; AW07/01: on track; LW02/01: CONF EX-FTY; AW19/12: EX-FTY 25TH APRIL; MM REQ BEST DATE AS PO DATE DURING CN</t>
        </is>
      </c>
    </row>
    <row r="25" ht="16.5" customHeight="1">
      <c r="A25" s="8" t="n">
        <v>5050</v>
      </c>
      <c r="B25" s="8" t="n">
        <v>4769</v>
      </c>
      <c r="C25" s="8" t="inlineStr">
        <is>
          <t>Y</t>
        </is>
      </c>
      <c r="D25" s="8" t="inlineStr">
        <is>
          <t>STICHD</t>
        </is>
      </c>
      <c r="E25" s="8" t="inlineStr">
        <is>
          <t>POLY</t>
        </is>
      </c>
      <c r="F25" s="8" t="n">
        <v>4500050747</v>
      </c>
      <c r="G25" s="8" t="inlineStr">
        <is>
          <t>NEW</t>
        </is>
      </c>
      <c r="H25" s="8" t="inlineStr">
        <is>
          <t>SS26</t>
        </is>
      </c>
      <c r="I25" s="8" t="inlineStr">
        <is>
          <t>PRIME-23</t>
        </is>
      </c>
      <c r="J25" s="8" t="inlineStr">
        <is>
          <t>FOB</t>
        </is>
      </c>
      <c r="K25" s="8" t="inlineStr">
        <is>
          <t>MATTHEW</t>
        </is>
      </c>
      <c r="L25" s="8" t="inlineStr">
        <is>
          <t>S003402A-0792-MCI</t>
        </is>
      </c>
      <c r="M25" s="8" t="n">
        <v>701244222</v>
      </c>
      <c r="N25" s="8" t="inlineStr">
        <is>
          <t>MCI MENS SUBLIMATED POLY T-SHIRT</t>
        </is>
      </c>
      <c r="O25" s="8" t="inlineStr">
        <is>
          <t>NAVAL ACADEMY</t>
        </is>
      </c>
      <c r="P25" s="9" t="inlineStr">
        <is>
          <t>001</t>
        </is>
      </c>
      <c r="Q25" s="10" t="n"/>
      <c r="R25" s="10" t="n"/>
      <c r="S25" s="10" t="n">
        <v>58</v>
      </c>
      <c r="T25" s="10" t="n">
        <v>112</v>
      </c>
      <c r="U25" s="10" t="n">
        <v>115</v>
      </c>
      <c r="V25" s="10" t="n">
        <v>75</v>
      </c>
      <c r="W25" s="10" t="n">
        <v>40</v>
      </c>
      <c r="X25" s="10" t="n"/>
      <c r="Y25" s="10" t="n"/>
      <c r="Z25" s="10" t="n"/>
      <c r="AA25" s="10" t="n"/>
      <c r="AB25" s="10" t="n"/>
      <c r="AC25" s="10" t="n"/>
      <c r="AD25" s="10" t="n"/>
      <c r="AE25" s="10">
        <f>SUM(Q21:AD21)</f>
        <v/>
      </c>
      <c r="AF25" s="11" t="n">
        <v>6.65</v>
      </c>
      <c r="AG25" s="11">
        <f>AE21*AF21</f>
        <v/>
      </c>
      <c r="AH25" s="12" t="n">
        <v>45995</v>
      </c>
      <c r="AI25" s="12" t="n">
        <v>45995</v>
      </c>
      <c r="AJ25" s="12" t="n">
        <v>45996</v>
      </c>
      <c r="AK25" s="12" t="n"/>
      <c r="AL25" s="12" t="n"/>
      <c r="AM25" s="12" t="n">
        <v>46073</v>
      </c>
      <c r="AN25" s="12" t="n">
        <v>46137</v>
      </c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>
        <v>46137</v>
      </c>
      <c r="BF25" s="12" t="n"/>
      <c r="BG25" s="12" t="n">
        <v>46073</v>
      </c>
      <c r="BH25" s="13" t="n"/>
      <c r="BI25" s="12">
        <f>BE21+5</f>
        <v/>
      </c>
      <c r="BJ25" s="8">
        <f>IFERROR((VLOOKUP(BG21,[1]LOOKUPS!A:B,2,0))," ")</f>
        <v/>
      </c>
      <c r="BK25" s="8">
        <f>IFERROR((VLOOKUP(BI21,[1]LOOKUPS!A:B,2,0))," ")</f>
        <v/>
      </c>
      <c r="BL25" s="13" t="n"/>
      <c r="BM25" s="13" t="n"/>
      <c r="BN25" s="13" t="n"/>
      <c r="BO25" s="13" t="n"/>
      <c r="BP25" s="13" t="n"/>
      <c r="BQ25" s="13" t="n"/>
      <c r="BR25" s="8" t="inlineStr">
        <is>
          <t>AW08/03: DELIVERY ON TRACK; AW20/01: ON TRACK; AW07/01: on track; LW02/01: CONF EX-FTY; AW19/12: EX-FTY 25TH APRIL; MM REQ BEST DATE AS PO DATE DURING CN</t>
        </is>
      </c>
    </row>
    <row r="26" ht="16.5" customHeight="1">
      <c r="A26" s="8" t="n">
        <v>5050</v>
      </c>
      <c r="B26" s="8" t="n">
        <v>4769</v>
      </c>
      <c r="C26" s="8" t="inlineStr">
        <is>
          <t>Y</t>
        </is>
      </c>
      <c r="D26" s="8" t="inlineStr">
        <is>
          <t>STICHD</t>
        </is>
      </c>
      <c r="E26" s="8" t="inlineStr">
        <is>
          <t>POLY</t>
        </is>
      </c>
      <c r="F26" s="8" t="n">
        <v>4500050747</v>
      </c>
      <c r="G26" s="8" t="inlineStr">
        <is>
          <t>NEW</t>
        </is>
      </c>
      <c r="H26" s="8" t="inlineStr">
        <is>
          <t>SS26</t>
        </is>
      </c>
      <c r="I26" s="8" t="inlineStr">
        <is>
          <t>PRIME-23</t>
        </is>
      </c>
      <c r="J26" s="8" t="inlineStr">
        <is>
          <t>FOB</t>
        </is>
      </c>
      <c r="K26" s="8" t="inlineStr">
        <is>
          <t>MATTHEW</t>
        </is>
      </c>
      <c r="L26" s="8" t="inlineStr">
        <is>
          <t>S003402A-0791-MCI</t>
        </is>
      </c>
      <c r="M26" s="8" t="n">
        <v>701244222</v>
      </c>
      <c r="N26" s="8" t="inlineStr">
        <is>
          <t>MCI MENS SUBLIMATED POLY T-SHIRT</t>
        </is>
      </c>
      <c r="O26" s="8" t="inlineStr">
        <is>
          <t>MEDITERRANIEA</t>
        </is>
      </c>
      <c r="P26" s="9" t="inlineStr">
        <is>
          <t>001</t>
        </is>
      </c>
      <c r="Q26" s="10" t="n"/>
      <c r="R26" s="10" t="n"/>
      <c r="S26" s="10" t="n">
        <v>58</v>
      </c>
      <c r="T26" s="10" t="n">
        <v>112</v>
      </c>
      <c r="U26" s="10" t="n">
        <v>115</v>
      </c>
      <c r="V26" s="10" t="n">
        <v>75</v>
      </c>
      <c r="W26" s="10" t="n">
        <v>40</v>
      </c>
      <c r="X26" s="10" t="n"/>
      <c r="Y26" s="10" t="n"/>
      <c r="Z26" s="10" t="n"/>
      <c r="AA26" s="10" t="n"/>
      <c r="AB26" s="10" t="n"/>
      <c r="AC26" s="10" t="n"/>
      <c r="AD26" s="10" t="n"/>
      <c r="AE26" s="10">
        <f>SUM(Q22:AD22)</f>
        <v/>
      </c>
      <c r="AF26" s="11" t="n">
        <v>6.65</v>
      </c>
      <c r="AG26" s="11">
        <f>AE22*AF22</f>
        <v/>
      </c>
      <c r="AH26" s="12" t="n">
        <v>45995</v>
      </c>
      <c r="AI26" s="12" t="n">
        <v>45995</v>
      </c>
      <c r="AJ26" s="12" t="n">
        <v>45996</v>
      </c>
      <c r="AK26" s="12" t="n"/>
      <c r="AL26" s="12" t="n"/>
      <c r="AM26" s="12" t="n">
        <v>46073</v>
      </c>
      <c r="AN26" s="12" t="n">
        <v>46137</v>
      </c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>
        <v>46137</v>
      </c>
      <c r="BF26" s="12" t="n"/>
      <c r="BG26" s="12" t="n">
        <v>46073</v>
      </c>
      <c r="BH26" s="13" t="n"/>
      <c r="BI26" s="12">
        <f>BE22+5</f>
        <v/>
      </c>
      <c r="BJ26" s="8">
        <f>IFERROR((VLOOKUP(BG22,[1]LOOKUPS!A:B,2,0))," ")</f>
        <v/>
      </c>
      <c r="BK26" s="8">
        <f>IFERROR((VLOOKUP(BI22,[1]LOOKUPS!A:B,2,0))," ")</f>
        <v/>
      </c>
      <c r="BL26" s="13" t="n"/>
      <c r="BM26" s="13" t="n"/>
      <c r="BN26" s="13" t="n"/>
      <c r="BO26" s="13" t="n"/>
      <c r="BP26" s="13" t="n"/>
      <c r="BQ26" s="13" t="n"/>
      <c r="BR26" s="8" t="inlineStr">
        <is>
          <t>AW08/03: DELIVERY ON TRACK; AW20/01: ON TRACK; AW07/01: on track; LW02/01: CONF EX-FTY; AW19/12: EX-FTY 25TH APRIL; MM REQ BEST DATE AS PO DATE DURING CN</t>
        </is>
      </c>
    </row>
    <row r="27" ht="16.5" customHeight="1">
      <c r="A27" s="8" t="n">
        <v>5050</v>
      </c>
      <c r="B27" s="8" t="n">
        <v>4769</v>
      </c>
      <c r="C27" s="8" t="inlineStr">
        <is>
          <t>Y</t>
        </is>
      </c>
      <c r="D27" s="8" t="inlineStr">
        <is>
          <t>STICHD</t>
        </is>
      </c>
      <c r="E27" s="8" t="inlineStr">
        <is>
          <t>POLY</t>
        </is>
      </c>
      <c r="F27" s="8" t="n">
        <v>4500050747</v>
      </c>
      <c r="G27" s="8" t="inlineStr">
        <is>
          <t>NEW</t>
        </is>
      </c>
      <c r="H27" s="8" t="inlineStr">
        <is>
          <t>SS26</t>
        </is>
      </c>
      <c r="I27" s="8" t="inlineStr">
        <is>
          <t>PRIME-23</t>
        </is>
      </c>
      <c r="J27" s="8" t="inlineStr">
        <is>
          <t>FOB</t>
        </is>
      </c>
      <c r="K27" s="8" t="inlineStr">
        <is>
          <t>MATTHEW</t>
        </is>
      </c>
      <c r="L27" s="8" t="inlineStr">
        <is>
          <t>S003403K-0004-MCI</t>
        </is>
      </c>
      <c r="M27" s="8" t="n">
        <v>701244223</v>
      </c>
      <c r="N27" s="8" t="inlineStr">
        <is>
          <t>MCI KIDS SUBLIMATED POLY T-SHIRT</t>
        </is>
      </c>
      <c r="O27" s="8" t="inlineStr">
        <is>
          <t>DRESS BLUES</t>
        </is>
      </c>
      <c r="P27" s="9" t="inlineStr">
        <is>
          <t>007</t>
        </is>
      </c>
      <c r="Q27" s="10" t="n">
        <v>20</v>
      </c>
      <c r="R27" s="10" t="n">
        <v>30</v>
      </c>
      <c r="S27" s="10" t="n">
        <v>45</v>
      </c>
      <c r="T27" s="10" t="n">
        <v>75</v>
      </c>
      <c r="U27" s="10" t="n">
        <v>70</v>
      </c>
      <c r="V27" s="10" t="n">
        <v>60</v>
      </c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>
        <f>SUM(Q23:AD23)</f>
        <v/>
      </c>
      <c r="AF27" s="11" t="n">
        <v>5.45</v>
      </c>
      <c r="AG27" s="11">
        <f>AE23*AF23</f>
        <v/>
      </c>
      <c r="AH27" s="12" t="n">
        <v>45995</v>
      </c>
      <c r="AI27" s="12" t="n">
        <v>45995</v>
      </c>
      <c r="AJ27" s="12" t="n">
        <v>45996</v>
      </c>
      <c r="AK27" s="12" t="n"/>
      <c r="AL27" s="12" t="n"/>
      <c r="AM27" s="12" t="n">
        <v>46073</v>
      </c>
      <c r="AN27" s="12" t="n">
        <v>46137</v>
      </c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>
        <v>46137</v>
      </c>
      <c r="BF27" s="12" t="n"/>
      <c r="BG27" s="12" t="n">
        <v>46073</v>
      </c>
      <c r="BH27" s="13" t="n"/>
      <c r="BI27" s="12">
        <f>BE23+5</f>
        <v/>
      </c>
      <c r="BJ27" s="8">
        <f>IFERROR((VLOOKUP(BG23,[1]LOOKUPS!A:B,2,0))," ")</f>
        <v/>
      </c>
      <c r="BK27" s="8">
        <f>IFERROR((VLOOKUP(BI23,[1]LOOKUPS!A:B,2,0))," ")</f>
        <v/>
      </c>
      <c r="BL27" s="13" t="n"/>
      <c r="BM27" s="13" t="n"/>
      <c r="BN27" s="13" t="n"/>
      <c r="BO27" s="13" t="n"/>
      <c r="BP27" s="13" t="n"/>
      <c r="BQ27" s="13" t="n"/>
      <c r="BR27" s="8" t="inlineStr">
        <is>
          <t>AW08/03: DELIVERY ON TRACK; AW20/01: ON TRACK; AW07/01: on track; LW02/01: CONF EX-FTY; AW19/12: EX-FTY 25TH APRIL; MM REQ BEST DATE AS PO DATE DURING CN</t>
        </is>
      </c>
    </row>
    <row r="28" ht="16.5" customHeight="1">
      <c r="A28" s="8" t="n">
        <v>5050</v>
      </c>
      <c r="B28" s="8" t="n">
        <v>4769</v>
      </c>
      <c r="C28" s="8" t="inlineStr">
        <is>
          <t>Y</t>
        </is>
      </c>
      <c r="D28" s="8" t="inlineStr">
        <is>
          <t>STICHD</t>
        </is>
      </c>
      <c r="E28" s="8" t="inlineStr">
        <is>
          <t>POLY</t>
        </is>
      </c>
      <c r="F28" s="8" t="n">
        <v>4500050747</v>
      </c>
      <c r="G28" s="8" t="inlineStr">
        <is>
          <t>NEW</t>
        </is>
      </c>
      <c r="H28" s="8" t="inlineStr">
        <is>
          <t>SS26</t>
        </is>
      </c>
      <c r="I28" s="8" t="inlineStr">
        <is>
          <t>PRIME-23</t>
        </is>
      </c>
      <c r="J28" s="8" t="inlineStr">
        <is>
          <t>FOB</t>
        </is>
      </c>
      <c r="K28" s="8" t="inlineStr">
        <is>
          <t>MATTHEW</t>
        </is>
      </c>
      <c r="L28" s="8" t="inlineStr">
        <is>
          <t>S003403K-0360-MCI</t>
        </is>
      </c>
      <c r="M28" s="8" t="n">
        <v>701244223</v>
      </c>
      <c r="N28" s="8" t="inlineStr">
        <is>
          <t>MCI KIDS SUBLIMATED POLY T-SHIRT</t>
        </is>
      </c>
      <c r="O28" s="8" t="inlineStr">
        <is>
          <t>LITTLE BOY BLUE</t>
        </is>
      </c>
      <c r="P28" s="9" t="inlineStr">
        <is>
          <t>007</t>
        </is>
      </c>
      <c r="Q28" s="10" t="n">
        <v>20</v>
      </c>
      <c r="R28" s="10" t="n">
        <v>30</v>
      </c>
      <c r="S28" s="10" t="n">
        <v>45</v>
      </c>
      <c r="T28" s="10" t="n">
        <v>75</v>
      </c>
      <c r="U28" s="10" t="n">
        <v>70</v>
      </c>
      <c r="V28" s="10" t="n">
        <v>60</v>
      </c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>
        <f>SUM(Q24:AD24)</f>
        <v/>
      </c>
      <c r="AF28" s="11" t="n">
        <v>5.45</v>
      </c>
      <c r="AG28" s="11">
        <f>AE24*AF24</f>
        <v/>
      </c>
      <c r="AH28" s="12" t="n">
        <v>45995</v>
      </c>
      <c r="AI28" s="12" t="n">
        <v>45995</v>
      </c>
      <c r="AJ28" s="12" t="n">
        <v>45996</v>
      </c>
      <c r="AK28" s="12" t="n"/>
      <c r="AL28" s="12" t="n"/>
      <c r="AM28" s="12" t="n">
        <v>46073</v>
      </c>
      <c r="AN28" s="12" t="n">
        <v>46137</v>
      </c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>
        <v>46137</v>
      </c>
      <c r="BF28" s="12" t="n"/>
      <c r="BG28" s="12" t="n">
        <v>46073</v>
      </c>
      <c r="BH28" s="13" t="n"/>
      <c r="BI28" s="12">
        <f>BE24+5</f>
        <v/>
      </c>
      <c r="BJ28" s="8">
        <f>IFERROR((VLOOKUP(BG24,[1]LOOKUPS!A:B,2,0))," ")</f>
        <v/>
      </c>
      <c r="BK28" s="8">
        <f>IFERROR((VLOOKUP(BI24,[1]LOOKUPS!A:B,2,0))," ")</f>
        <v/>
      </c>
      <c r="BL28" s="13" t="n"/>
      <c r="BM28" s="13" t="n"/>
      <c r="BN28" s="13" t="n"/>
      <c r="BO28" s="13" t="n"/>
      <c r="BP28" s="13" t="n"/>
      <c r="BQ28" s="13" t="n"/>
      <c r="BR28" s="8" t="inlineStr">
        <is>
          <t>AW08/03: DELIVERY ON TRACK; AW20/01: ON TRACK; AW07/01: on track; LW02/01: CONF EX-FTY; AW19/12: EX-FTY 25TH APRIL; MM REQ BEST DATE AS PO DATE DURING CN</t>
        </is>
      </c>
    </row>
    <row r="29" ht="16.5" customHeight="1">
      <c r="A29" s="8" t="n">
        <v>5050</v>
      </c>
      <c r="B29" s="8" t="n">
        <v>4769</v>
      </c>
      <c r="C29" s="8" t="inlineStr">
        <is>
          <t>Y</t>
        </is>
      </c>
      <c r="D29" s="8" t="inlineStr">
        <is>
          <t>STICHD</t>
        </is>
      </c>
      <c r="E29" s="8" t="inlineStr">
        <is>
          <t>POLY</t>
        </is>
      </c>
      <c r="F29" s="8" t="n">
        <v>4500050747</v>
      </c>
      <c r="G29" s="8" t="inlineStr">
        <is>
          <t>NEW</t>
        </is>
      </c>
      <c r="H29" s="8" t="inlineStr">
        <is>
          <t>SS26</t>
        </is>
      </c>
      <c r="I29" s="8" t="inlineStr">
        <is>
          <t>PRIME-23</t>
        </is>
      </c>
      <c r="J29" s="8" t="inlineStr">
        <is>
          <t>FOB</t>
        </is>
      </c>
      <c r="K29" s="8" t="inlineStr">
        <is>
          <t>MATTHEW</t>
        </is>
      </c>
      <c r="L29" s="8" t="inlineStr">
        <is>
          <t>S003404K-0004-MCI</t>
        </is>
      </c>
      <c r="M29" s="8" t="n">
        <v>701244224</v>
      </c>
      <c r="N29" s="8" t="inlineStr">
        <is>
          <t>MCI KIDS TECH POLY HOODY</t>
        </is>
      </c>
      <c r="O29" s="8" t="inlineStr">
        <is>
          <t>DRESS BLUES</t>
        </is>
      </c>
      <c r="P29" s="9" t="inlineStr">
        <is>
          <t>007</t>
        </is>
      </c>
      <c r="Q29" s="10" t="n">
        <v>20</v>
      </c>
      <c r="R29" s="10" t="n">
        <v>30</v>
      </c>
      <c r="S29" s="10" t="n">
        <v>45</v>
      </c>
      <c r="T29" s="10" t="n">
        <v>75</v>
      </c>
      <c r="U29" s="10" t="n">
        <v>70</v>
      </c>
      <c r="V29" s="10" t="n">
        <v>60</v>
      </c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>
        <f>SUM(Q25:AD25)</f>
        <v/>
      </c>
      <c r="AF29" s="11" t="n">
        <v>10.35</v>
      </c>
      <c r="AG29" s="11">
        <f>AE25*AF25</f>
        <v/>
      </c>
      <c r="AH29" s="12" t="n">
        <v>45995</v>
      </c>
      <c r="AI29" s="12" t="n">
        <v>45995</v>
      </c>
      <c r="AJ29" s="12" t="n">
        <v>45996</v>
      </c>
      <c r="AK29" s="12" t="n"/>
      <c r="AL29" s="12" t="n"/>
      <c r="AM29" s="12" t="n">
        <v>46073</v>
      </c>
      <c r="AN29" s="12" t="n">
        <v>46137</v>
      </c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>
        <v>46137</v>
      </c>
      <c r="BF29" s="12" t="n"/>
      <c r="BG29" s="12" t="n">
        <v>46073</v>
      </c>
      <c r="BH29" s="13" t="n"/>
      <c r="BI29" s="12">
        <f>BE25+5</f>
        <v/>
      </c>
      <c r="BJ29" s="8">
        <f>IFERROR((VLOOKUP(BG25,[1]LOOKUPS!A:B,2,0))," ")</f>
        <v/>
      </c>
      <c r="BK29" s="8">
        <f>IFERROR((VLOOKUP(BI25,[1]LOOKUPS!A:B,2,0))," ")</f>
        <v/>
      </c>
      <c r="BL29" s="13" t="n"/>
      <c r="BM29" s="13" t="n"/>
      <c r="BN29" s="13" t="n"/>
      <c r="BO29" s="13" t="n"/>
      <c r="BP29" s="13" t="n"/>
      <c r="BQ29" s="13" t="n"/>
      <c r="BR29" s="8" t="inlineStr">
        <is>
          <t>AW08/03: DELIVERY ON TRACK; AW20/01: ON TRACK; AW07/01: on track; LW02/01: CONF EX-FTY; AW19/12: EX-FTY 25TH APRIL; MM REQ BEST DATE AS PO DATE DURING CN</t>
        </is>
      </c>
    </row>
    <row r="30">
      <c r="A30" s="8" t="n">
        <v>5050</v>
      </c>
      <c r="B30" s="8" t="n">
        <v>4769</v>
      </c>
      <c r="C30" s="8" t="inlineStr">
        <is>
          <t>Y</t>
        </is>
      </c>
      <c r="D30" s="8" t="inlineStr">
        <is>
          <t>STICHD</t>
        </is>
      </c>
      <c r="E30" s="8" t="inlineStr">
        <is>
          <t>POLY</t>
        </is>
      </c>
      <c r="F30" s="8" t="n">
        <v>4500050747</v>
      </c>
      <c r="G30" s="8" t="inlineStr">
        <is>
          <t>NEW</t>
        </is>
      </c>
      <c r="H30" s="8" t="inlineStr">
        <is>
          <t>SS26</t>
        </is>
      </c>
      <c r="I30" s="8" t="inlineStr">
        <is>
          <t>PRIME-23</t>
        </is>
      </c>
      <c r="J30" s="8" t="inlineStr">
        <is>
          <t>FOB</t>
        </is>
      </c>
      <c r="K30" s="8" t="inlineStr">
        <is>
          <t>MATTHEW</t>
        </is>
      </c>
      <c r="L30" s="8" t="inlineStr">
        <is>
          <t>S003405K-0004-MCI</t>
        </is>
      </c>
      <c r="M30" s="8" t="n">
        <v>701244225</v>
      </c>
      <c r="N30" s="8" t="inlineStr">
        <is>
          <t>MCI KIDS TECH POLY TRACK PANTS</t>
        </is>
      </c>
      <c r="O30" s="8" t="inlineStr">
        <is>
          <t>DRESS BLUES</t>
        </is>
      </c>
      <c r="P30" s="9" t="inlineStr">
        <is>
          <t>007</t>
        </is>
      </c>
      <c r="Q30" s="10" t="n">
        <v>22</v>
      </c>
      <c r="R30" s="10" t="n">
        <v>23</v>
      </c>
      <c r="S30" s="10" t="n">
        <v>38</v>
      </c>
      <c r="T30" s="10" t="n">
        <v>82</v>
      </c>
      <c r="U30" s="10" t="n">
        <v>72</v>
      </c>
      <c r="V30" s="10" t="n">
        <v>60</v>
      </c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>
        <f>SUM(Q26:AD26)</f>
        <v/>
      </c>
      <c r="AF30" s="11" t="n">
        <v>8.15</v>
      </c>
      <c r="AG30" s="11">
        <f>AE26*AF26</f>
        <v/>
      </c>
      <c r="AH30" s="12" t="n">
        <v>45995</v>
      </c>
      <c r="AI30" s="12" t="n">
        <v>45995</v>
      </c>
      <c r="AJ30" s="12" t="n">
        <v>45996</v>
      </c>
      <c r="AK30" s="12" t="n"/>
      <c r="AL30" s="12" t="n"/>
      <c r="AM30" s="12" t="n">
        <v>46073</v>
      </c>
      <c r="AN30" s="12" t="n">
        <v>46137</v>
      </c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>
        <v>46137</v>
      </c>
      <c r="BF30" s="12" t="n"/>
      <c r="BG30" s="12" t="n">
        <v>46073</v>
      </c>
      <c r="BH30" s="13" t="n"/>
      <c r="BI30" s="12">
        <f>BE26+5</f>
        <v/>
      </c>
      <c r="BJ30" s="8">
        <f>IFERROR((VLOOKUP(BG26,[1]LOOKUPS!A:B,2,0))," ")</f>
        <v/>
      </c>
      <c r="BK30" s="8">
        <f>IFERROR((VLOOKUP(BI26,[1]LOOKUPS!A:B,2,0))," ")</f>
        <v/>
      </c>
      <c r="BL30" s="13" t="n"/>
      <c r="BM30" s="13" t="n"/>
      <c r="BN30" s="13" t="n"/>
      <c r="BO30" s="13" t="n"/>
      <c r="BP30" s="13" t="n"/>
      <c r="BQ30" s="13" t="n"/>
      <c r="BR30" s="8" t="inlineStr">
        <is>
          <t>AW08/03: DELIVERY ON TRACK; AW20/01: ON TRACK; AW07/01: on track; LW02/01: CONF EX-FTY; AW19/12: EX-FTY 25TH APRIL; MM REQ BEST DATE AS PO DATE DURING CN</t>
        </is>
      </c>
    </row>
    <row r="31">
      <c r="A31" s="8" t="n">
        <v>5076</v>
      </c>
      <c r="B31" s="8" t="n">
        <v>4836</v>
      </c>
      <c r="C31" s="8" t="inlineStr">
        <is>
          <t>Y</t>
        </is>
      </c>
      <c r="D31" s="8" t="inlineStr">
        <is>
          <t>CHELSEA MERCHANDISING</t>
        </is>
      </c>
      <c r="E31" s="8" t="inlineStr">
        <is>
          <t>SUMMER OF 64</t>
        </is>
      </c>
      <c r="F31" s="8" t="n">
        <v>411426</v>
      </c>
      <c r="G31" s="8" t="inlineStr">
        <is>
          <t>NEW</t>
        </is>
      </c>
      <c r="H31" s="8" t="inlineStr">
        <is>
          <t>SS26</t>
        </is>
      </c>
      <c r="I31" s="8" t="inlineStr">
        <is>
          <t>PRIME-23</t>
        </is>
      </c>
      <c r="J31" s="8" t="inlineStr">
        <is>
          <t>CIF MIDON</t>
        </is>
      </c>
      <c r="K31" s="8" t="inlineStr">
        <is>
          <t>MATTHEW</t>
        </is>
      </c>
      <c r="L31" s="8" t="inlineStr">
        <is>
          <t>S003744A-0464-CHE</t>
        </is>
      </c>
      <c r="M31" s="8" t="n">
        <v>260015592</v>
      </c>
      <c r="N31" s="8" t="inlineStr">
        <is>
          <t>CHE ADULTS SO 64 SHORTS</t>
        </is>
      </c>
      <c r="O31" s="8" t="inlineStr">
        <is>
          <t>DEEP TEAL</t>
        </is>
      </c>
      <c r="P31" s="9" t="inlineStr">
        <is>
          <t>001</t>
        </is>
      </c>
      <c r="Q31" s="10" t="n">
        <v>5</v>
      </c>
      <c r="R31" s="10" t="n">
        <v>6</v>
      </c>
      <c r="S31" s="10" t="n">
        <v>32</v>
      </c>
      <c r="T31" s="10" t="n">
        <v>36</v>
      </c>
      <c r="U31" s="10" t="n">
        <v>38</v>
      </c>
      <c r="V31" s="10" t="n">
        <v>23</v>
      </c>
      <c r="W31" s="10" t="n">
        <v>12</v>
      </c>
      <c r="X31" s="10" t="n"/>
      <c r="Y31" s="10" t="n"/>
      <c r="Z31" s="10" t="n"/>
      <c r="AA31" s="10" t="n"/>
      <c r="AB31" s="10" t="n"/>
      <c r="AC31" s="10" t="n"/>
      <c r="AD31" s="10" t="n"/>
      <c r="AE31" s="10">
        <f>SUM(Q27:AD27)</f>
        <v/>
      </c>
      <c r="AF31" s="11" t="n">
        <v>8.75</v>
      </c>
      <c r="AG31" s="11">
        <f>AE27*AF27</f>
        <v/>
      </c>
      <c r="AH31" s="12" t="n">
        <v>46035</v>
      </c>
      <c r="AI31" s="12" t="n">
        <v>46035</v>
      </c>
      <c r="AJ31" s="12" t="n">
        <v>46034</v>
      </c>
      <c r="AK31" s="12" t="n">
        <v>46034</v>
      </c>
      <c r="AL31" s="12" t="n">
        <v>46050</v>
      </c>
      <c r="AM31" s="12" t="n">
        <v>46157</v>
      </c>
      <c r="AN31" s="12" t="n">
        <v>46157</v>
      </c>
      <c r="AO31" s="12" t="inlineStr">
        <is>
          <t>N</t>
        </is>
      </c>
      <c r="AP31" s="12" t="inlineStr">
        <is>
          <t>NOT REQUIRED - APPROVED</t>
        </is>
      </c>
      <c r="AQ31" s="13" t="n"/>
      <c r="AR31" s="13" t="n"/>
      <c r="AS31" s="12" t="inlineStr">
        <is>
          <t>N/A</t>
        </is>
      </c>
      <c r="AT31" s="13" t="n"/>
      <c r="AU31" s="13" t="n"/>
      <c r="AV31" s="12" t="inlineStr">
        <is>
          <t>LATE</t>
        </is>
      </c>
      <c r="AW31" s="12" t="n"/>
      <c r="AX31" s="12" t="n"/>
      <c r="AY31" s="12" t="inlineStr">
        <is>
          <t>P23 ADVISE UPDATE</t>
        </is>
      </c>
      <c r="AZ31" s="12" t="n"/>
      <c r="BA31" s="12" t="n"/>
      <c r="BB31" s="12" t="n"/>
      <c r="BC31" s="12" t="n"/>
      <c r="BD31" s="12" t="n"/>
      <c r="BE31" s="12" t="n">
        <v>46157</v>
      </c>
      <c r="BF31" s="12" t="n"/>
      <c r="BG31" s="12" t="n">
        <v>46209</v>
      </c>
      <c r="BH31" s="12">
        <f>(BE27+60)</f>
        <v/>
      </c>
      <c r="BI31" s="12">
        <f>(BH27+5)</f>
        <v/>
      </c>
      <c r="BJ31" s="8">
        <f>IFERROR((VLOOKUP(BG27,[1]LOOKUPS!A:B,2,0))," ")</f>
        <v/>
      </c>
      <c r="BK31" s="8">
        <f>IFERROR((VLOOKUP(BI27,[1]LOOKUPS!A:B,2,0))," ")</f>
        <v/>
      </c>
      <c r="BL31" s="12" t="n"/>
      <c r="BM31" s="12" t="n"/>
      <c r="BN31" s="12" t="n"/>
      <c r="BO31" s="12" t="n"/>
      <c r="BP31" s="12" t="n"/>
      <c r="BQ31" s="12" t="n"/>
      <c r="BR31" s="8" t="inlineStr">
        <is>
          <t>AW09/03: EX-FTY MID MAY; AW09/02: Ex-fty Mid May is okay</t>
        </is>
      </c>
    </row>
    <row r="32">
      <c r="A32" s="8" t="n">
        <v>5076</v>
      </c>
      <c r="B32" s="8" t="n">
        <v>4836</v>
      </c>
      <c r="C32" s="8" t="inlineStr">
        <is>
          <t>Y</t>
        </is>
      </c>
      <c r="D32" s="8" t="inlineStr">
        <is>
          <t>CHELSEA MERCHANDISING</t>
        </is>
      </c>
      <c r="E32" s="8" t="inlineStr">
        <is>
          <t>SUMMER OF 64</t>
        </is>
      </c>
      <c r="F32" s="8" t="n">
        <v>411426</v>
      </c>
      <c r="G32" s="8" t="inlineStr">
        <is>
          <t>NEW</t>
        </is>
      </c>
      <c r="H32" s="8" t="inlineStr">
        <is>
          <t>SS26</t>
        </is>
      </c>
      <c r="I32" s="8" t="inlineStr">
        <is>
          <t>PRIME-23</t>
        </is>
      </c>
      <c r="J32" s="8" t="inlineStr">
        <is>
          <t>CIF MIDON</t>
        </is>
      </c>
      <c r="K32" s="8" t="inlineStr">
        <is>
          <t>MATTHEW</t>
        </is>
      </c>
      <c r="L32" s="8" t="inlineStr">
        <is>
          <t>S003741A-0001-CHE</t>
        </is>
      </c>
      <c r="M32" s="8" t="n">
        <v>260015526</v>
      </c>
      <c r="N32" s="8" t="inlineStr">
        <is>
          <t>CHE ADULTS SO 64 T-SHIRT</t>
        </is>
      </c>
      <c r="O32" s="8" t="inlineStr">
        <is>
          <t>OPTIC WHITE</t>
        </is>
      </c>
      <c r="P32" s="9" t="inlineStr">
        <is>
          <t>001</t>
        </is>
      </c>
      <c r="Q32" s="10" t="n">
        <v>6</v>
      </c>
      <c r="R32" s="10" t="n">
        <v>8</v>
      </c>
      <c r="S32" s="10" t="n">
        <v>38</v>
      </c>
      <c r="T32" s="10" t="n">
        <v>48</v>
      </c>
      <c r="U32" s="10" t="n">
        <v>54</v>
      </c>
      <c r="V32" s="10" t="n">
        <v>32</v>
      </c>
      <c r="W32" s="10" t="n">
        <v>14</v>
      </c>
      <c r="X32" s="10" t="n"/>
      <c r="Y32" s="10" t="n"/>
      <c r="Z32" s="10" t="n"/>
      <c r="AA32" s="10" t="n"/>
      <c r="AB32" s="10" t="n"/>
      <c r="AC32" s="10" t="n"/>
      <c r="AD32" s="10" t="n"/>
      <c r="AE32" s="10">
        <f>SUM(Q28:AD28)</f>
        <v/>
      </c>
      <c r="AF32" s="11" t="n">
        <v>10.25</v>
      </c>
      <c r="AG32" s="11">
        <f>AE28*AF28</f>
        <v/>
      </c>
      <c r="AH32" s="12" t="n">
        <v>46035</v>
      </c>
      <c r="AI32" s="12" t="n">
        <v>46035</v>
      </c>
      <c r="AJ32" s="12" t="n">
        <v>46034</v>
      </c>
      <c r="AK32" s="12" t="n">
        <v>46034</v>
      </c>
      <c r="AL32" s="12" t="n">
        <v>46050</v>
      </c>
      <c r="AM32" s="12" t="n">
        <v>46157</v>
      </c>
      <c r="AN32" s="12" t="n">
        <v>46157</v>
      </c>
      <c r="AO32" s="12" t="inlineStr">
        <is>
          <t>N</t>
        </is>
      </c>
      <c r="AP32" s="12" t="inlineStr">
        <is>
          <t>NOT REQUIRED - APPROVED</t>
        </is>
      </c>
      <c r="AQ32" s="13" t="n"/>
      <c r="AR32" s="13" t="n"/>
      <c r="AS32" s="12" t="inlineStr">
        <is>
          <t>LATE</t>
        </is>
      </c>
      <c r="AT32" s="12" t="n"/>
      <c r="AU32" s="12" t="n"/>
      <c r="AV32" s="12" t="inlineStr">
        <is>
          <t>N/A</t>
        </is>
      </c>
      <c r="AW32" s="13" t="n"/>
      <c r="AX32" s="13" t="n"/>
      <c r="AY32" s="12" t="inlineStr">
        <is>
          <t>P23 ADVISE UPDATE</t>
        </is>
      </c>
      <c r="AZ32" s="12" t="n"/>
      <c r="BA32" s="12" t="n"/>
      <c r="BB32" s="12" t="n"/>
      <c r="BC32" s="12" t="n"/>
      <c r="BD32" s="12" t="n"/>
      <c r="BE32" s="12" t="n">
        <v>46157</v>
      </c>
      <c r="BF32" s="12" t="n"/>
      <c r="BG32" s="12" t="n">
        <v>46209</v>
      </c>
      <c r="BH32" s="12">
        <f>(BE28+60)</f>
        <v/>
      </c>
      <c r="BI32" s="12">
        <f>(BH28+5)</f>
        <v/>
      </c>
      <c r="BJ32" s="8">
        <f>IFERROR((VLOOKUP(BG28,[1]LOOKUPS!A:B,2,0))," ")</f>
        <v/>
      </c>
      <c r="BK32" s="8">
        <f>IFERROR((VLOOKUP(BI28,[1]LOOKUPS!A:B,2,0))," ")</f>
        <v/>
      </c>
      <c r="BL32" s="12" t="n"/>
      <c r="BM32" s="12" t="n"/>
      <c r="BN32" s="12" t="n"/>
      <c r="BO32" s="12" t="n"/>
      <c r="BP32" s="12" t="n"/>
      <c r="BQ32" s="12" t="n"/>
      <c r="BR32" s="8" t="inlineStr">
        <is>
          <t>AW09/03: EX-FTY MID MAY; AW09/02: Ex-fty Mid May is okay</t>
        </is>
      </c>
    </row>
    <row r="33">
      <c r="A33" s="8" t="n">
        <v>5076</v>
      </c>
      <c r="B33" s="8" t="n">
        <v>4836</v>
      </c>
      <c r="C33" s="8" t="inlineStr">
        <is>
          <t>Y</t>
        </is>
      </c>
      <c r="D33" s="8" t="inlineStr">
        <is>
          <t>CHELSEA MERCHANDISING</t>
        </is>
      </c>
      <c r="E33" s="8" t="inlineStr">
        <is>
          <t>SUMMER OF 64</t>
        </is>
      </c>
      <c r="F33" s="8" t="n">
        <v>411426</v>
      </c>
      <c r="G33" s="8" t="inlineStr">
        <is>
          <t>NEW</t>
        </is>
      </c>
      <c r="H33" s="8" t="inlineStr">
        <is>
          <t>SS26</t>
        </is>
      </c>
      <c r="I33" s="8" t="inlineStr">
        <is>
          <t>PRIME-23</t>
        </is>
      </c>
      <c r="J33" s="8" t="inlineStr">
        <is>
          <t>CIF MIDON</t>
        </is>
      </c>
      <c r="K33" s="8" t="inlineStr">
        <is>
          <t>MATTHEW</t>
        </is>
      </c>
      <c r="L33" s="8" t="inlineStr">
        <is>
          <t>S003743A-0001-CHE</t>
        </is>
      </c>
      <c r="M33" s="8" t="n">
        <v>260015528</v>
      </c>
      <c r="N33" s="8" t="inlineStr">
        <is>
          <t>CHE ADULTS SO 64 SS SHIRT</t>
        </is>
      </c>
      <c r="O33" s="8" t="inlineStr">
        <is>
          <t>OPTIC WHITE</t>
        </is>
      </c>
      <c r="P33" s="9" t="inlineStr">
        <is>
          <t>001</t>
        </is>
      </c>
      <c r="Q33" s="10" t="n">
        <v>5</v>
      </c>
      <c r="R33" s="10" t="n">
        <v>6</v>
      </c>
      <c r="S33" s="10" t="n">
        <v>29</v>
      </c>
      <c r="T33" s="10" t="n">
        <v>36</v>
      </c>
      <c r="U33" s="10" t="n">
        <v>41</v>
      </c>
      <c r="V33" s="10" t="n">
        <v>24</v>
      </c>
      <c r="W33" s="10" t="n">
        <v>11</v>
      </c>
      <c r="X33" s="10" t="n"/>
      <c r="Y33" s="10" t="n"/>
      <c r="Z33" s="10" t="n"/>
      <c r="AA33" s="10" t="n"/>
      <c r="AB33" s="10" t="n"/>
      <c r="AC33" s="10" t="n"/>
      <c r="AD33" s="10" t="n"/>
      <c r="AE33" s="10">
        <f>SUM(Q29:AD29)</f>
        <v/>
      </c>
      <c r="AF33" s="11" t="n">
        <v>10.55</v>
      </c>
      <c r="AG33" s="11">
        <f>AE29*AF29</f>
        <v/>
      </c>
      <c r="AH33" s="12" t="n">
        <v>46035</v>
      </c>
      <c r="AI33" s="12" t="n">
        <v>46035</v>
      </c>
      <c r="AJ33" s="12" t="n">
        <v>46034</v>
      </c>
      <c r="AK33" s="12" t="n">
        <v>46034</v>
      </c>
      <c r="AL33" s="12" t="n">
        <v>46050</v>
      </c>
      <c r="AM33" s="12" t="n">
        <v>46157</v>
      </c>
      <c r="AN33" s="12" t="n">
        <v>46157</v>
      </c>
      <c r="AO33" s="12" t="inlineStr">
        <is>
          <t>N</t>
        </is>
      </c>
      <c r="AP33" s="12" t="inlineStr">
        <is>
          <t>NOT REQUIRED - APPROVED</t>
        </is>
      </c>
      <c r="AQ33" s="13" t="n"/>
      <c r="AR33" s="13" t="n"/>
      <c r="AS33" s="12" t="inlineStr">
        <is>
          <t>APPROVED</t>
        </is>
      </c>
      <c r="AT33" s="12" t="n">
        <v>46097</v>
      </c>
      <c r="AU33" s="12" t="n">
        <v>46104</v>
      </c>
      <c r="AV33" s="12" t="inlineStr">
        <is>
          <t>N/A</t>
        </is>
      </c>
      <c r="AW33" s="13" t="n"/>
      <c r="AX33" s="13" t="n"/>
      <c r="AY33" s="12" t="inlineStr">
        <is>
          <t>P23 ADVISE UPDATE</t>
        </is>
      </c>
      <c r="AZ33" s="12" t="n"/>
      <c r="BA33" s="12" t="n"/>
      <c r="BB33" s="12" t="n"/>
      <c r="BC33" s="12" t="n"/>
      <c r="BD33" s="12" t="n"/>
      <c r="BE33" s="12" t="n">
        <v>46157</v>
      </c>
      <c r="BF33" s="12" t="n"/>
      <c r="BG33" s="12" t="n">
        <v>46209</v>
      </c>
      <c r="BH33" s="12">
        <f>(BE29+60)</f>
        <v/>
      </c>
      <c r="BI33" s="12">
        <f>(BH29+5)</f>
        <v/>
      </c>
      <c r="BJ33" s="8">
        <f>IFERROR((VLOOKUP(BG29,[1]LOOKUPS!A:B,2,0))," ")</f>
        <v/>
      </c>
      <c r="BK33" s="8">
        <f>IFERROR((VLOOKUP(BI29,[1]LOOKUPS!A:B,2,0))," ")</f>
        <v/>
      </c>
      <c r="BL33" s="12" t="n"/>
      <c r="BM33" s="12" t="n"/>
      <c r="BN33" s="12" t="n"/>
      <c r="BO33" s="12" t="n"/>
      <c r="BP33" s="12" t="n"/>
      <c r="BQ33" s="12" t="n"/>
      <c r="BR33" s="8" t="inlineStr">
        <is>
          <t>AW09/03: EX-FTY MID MAY; AW09/02: Ex-fty Mid May is okay</t>
        </is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7" t="n"/>
      <c r="AB34" s="7" t="n"/>
      <c r="AC34" s="7" t="n"/>
      <c r="AD34" s="7" t="n"/>
      <c r="AE34" s="2" t="n"/>
      <c r="AF34" s="2" t="n"/>
      <c r="AG34" s="2" t="n"/>
      <c r="AH34" s="4" t="n"/>
      <c r="AI34" s="4" t="n"/>
      <c r="AJ34" s="4" t="n"/>
      <c r="AK34" s="4" t="n"/>
      <c r="AL34" s="4" t="n"/>
      <c r="AM34" s="4" t="n"/>
      <c r="AN34" s="4" t="n"/>
      <c r="AO34" s="7" t="n"/>
      <c r="AP34" s="7" t="n"/>
      <c r="AQ34" s="4" t="n"/>
      <c r="AR34" s="4" t="n"/>
      <c r="AS34" s="7" t="n"/>
      <c r="AT34" s="4" t="n"/>
      <c r="AU34" s="4" t="n"/>
      <c r="AV34" s="7" t="n"/>
      <c r="AW34" s="4" t="n"/>
      <c r="AX34" s="4" t="n"/>
      <c r="AY34" s="7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7" t="n"/>
      <c r="BK34" s="7" t="n"/>
      <c r="BL34" s="7" t="n"/>
      <c r="BM34" s="7" t="n"/>
      <c r="BN34" s="4" t="n"/>
      <c r="BO34" s="4" t="n"/>
      <c r="BP34" s="4" t="n"/>
      <c r="BQ34" s="4" t="n"/>
      <c r="BR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7" t="n"/>
      <c r="AB35" s="7" t="n"/>
      <c r="AC35" s="7" t="n"/>
      <c r="AD35" s="7" t="n"/>
      <c r="AE35" s="2" t="n"/>
      <c r="AF35" s="2" t="n"/>
      <c r="AG35" s="2" t="n"/>
      <c r="AH35" s="4" t="n"/>
      <c r="AI35" s="4" t="n"/>
      <c r="AJ35" s="4" t="n"/>
      <c r="AK35" s="4" t="n"/>
      <c r="AL35" s="4" t="n"/>
      <c r="AM35" s="4" t="n"/>
      <c r="AN35" s="4" t="n"/>
      <c r="AO35" s="7" t="n"/>
      <c r="AP35" s="7" t="n"/>
      <c r="AQ35" s="4" t="n"/>
      <c r="AR35" s="4" t="n"/>
      <c r="AS35" s="7" t="n"/>
      <c r="AT35" s="4" t="n"/>
      <c r="AU35" s="4" t="n"/>
      <c r="AV35" s="7" t="n"/>
      <c r="AW35" s="4" t="n"/>
      <c r="AX35" s="4" t="n"/>
      <c r="AY35" s="7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7" t="n"/>
      <c r="BK35" s="7" t="n"/>
      <c r="BL35" s="7" t="n"/>
      <c r="BM35" s="7" t="n"/>
      <c r="BN35" s="4" t="n"/>
      <c r="BO35" s="4" t="n"/>
      <c r="BP35" s="4" t="n"/>
      <c r="BQ35" s="4" t="n"/>
      <c r="BR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7" t="n"/>
      <c r="AB36" s="7" t="n"/>
      <c r="AC36" s="7" t="n"/>
      <c r="AD36" s="7" t="n"/>
      <c r="AE36" s="2" t="n"/>
      <c r="AF36" s="2" t="n"/>
      <c r="AG36" s="2" t="n"/>
      <c r="AH36" s="4" t="n"/>
      <c r="AI36" s="4" t="n"/>
      <c r="AJ36" s="4" t="n"/>
      <c r="AK36" s="4" t="n"/>
      <c r="AL36" s="4" t="n"/>
      <c r="AM36" s="4" t="n"/>
      <c r="AN36" s="4" t="n"/>
      <c r="AO36" s="7" t="n"/>
      <c r="AP36" s="7" t="n"/>
      <c r="AQ36" s="4" t="n"/>
      <c r="AR36" s="4" t="n"/>
      <c r="AS36" s="7" t="n"/>
      <c r="AT36" s="4" t="n"/>
      <c r="AU36" s="4" t="n"/>
      <c r="AV36" s="7" t="n"/>
      <c r="AW36" s="4" t="n"/>
      <c r="AX36" s="4" t="n"/>
      <c r="AY36" s="7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7" t="n"/>
      <c r="BK36" s="7" t="n"/>
      <c r="BL36" s="7" t="n"/>
      <c r="BM36" s="7" t="n"/>
      <c r="BN36" s="4" t="n"/>
      <c r="BO36" s="4" t="n"/>
      <c r="BP36" s="4" t="n"/>
      <c r="BQ36" s="4" t="n"/>
      <c r="BR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7" t="n"/>
      <c r="AB37" s="7" t="n"/>
      <c r="AC37" s="7" t="n"/>
      <c r="AD37" s="7" t="n"/>
      <c r="AE37" s="2" t="n"/>
      <c r="AF37" s="2" t="n"/>
      <c r="AG37" s="2" t="n"/>
      <c r="AH37" s="4" t="n"/>
      <c r="AI37" s="4" t="n"/>
      <c r="AJ37" s="4" t="n"/>
      <c r="AK37" s="4" t="n"/>
      <c r="AL37" s="4" t="n"/>
      <c r="AM37" s="4" t="n"/>
      <c r="AN37" s="4" t="n"/>
      <c r="AO37" s="7" t="n"/>
      <c r="AP37" s="7" t="n"/>
      <c r="AQ37" s="4" t="n"/>
      <c r="AR37" s="4" t="n"/>
      <c r="AS37" s="7" t="n"/>
      <c r="AT37" s="4" t="n"/>
      <c r="AU37" s="4" t="n"/>
      <c r="AV37" s="7" t="n"/>
      <c r="AW37" s="4" t="n"/>
      <c r="AX37" s="4" t="n"/>
      <c r="AY37" s="7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7" t="n"/>
      <c r="BK37" s="7" t="n"/>
      <c r="BL37" s="7" t="n"/>
      <c r="BM37" s="7" t="n"/>
      <c r="BN37" s="4" t="n"/>
      <c r="BO37" s="4" t="n"/>
      <c r="BP37" s="4" t="n"/>
      <c r="BQ37" s="4" t="n"/>
      <c r="BR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7" t="n"/>
      <c r="AB38" s="7" t="n"/>
      <c r="AC38" s="7" t="n"/>
      <c r="AD38" s="7" t="n"/>
      <c r="AE38" s="2" t="n"/>
      <c r="AF38" s="2" t="n"/>
      <c r="AG38" s="2" t="n"/>
      <c r="AH38" s="4" t="n"/>
      <c r="AI38" s="4" t="n"/>
      <c r="AJ38" s="4" t="n"/>
      <c r="AK38" s="4" t="n"/>
      <c r="AL38" s="4" t="n"/>
      <c r="AM38" s="4" t="n"/>
      <c r="AN38" s="4" t="n"/>
      <c r="AO38" s="7" t="n"/>
      <c r="AP38" s="7" t="n"/>
      <c r="AQ38" s="4" t="n"/>
      <c r="AR38" s="4" t="n"/>
      <c r="AS38" s="7" t="n"/>
      <c r="AT38" s="4" t="n"/>
      <c r="AU38" s="4" t="n"/>
      <c r="AV38" s="7" t="n"/>
      <c r="AW38" s="4" t="n"/>
      <c r="AX38" s="4" t="n"/>
      <c r="AY38" s="7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7" t="n"/>
      <c r="BK38" s="7" t="n"/>
      <c r="BL38" s="7" t="n"/>
      <c r="BM38" s="7" t="n"/>
      <c r="BN38" s="4" t="n"/>
      <c r="BO38" s="4" t="n"/>
      <c r="BP38" s="4" t="n"/>
      <c r="BQ38" s="4" t="n"/>
      <c r="BR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7" t="n"/>
      <c r="AB39" s="7" t="n"/>
      <c r="AC39" s="7" t="n"/>
      <c r="AD39" s="7" t="n"/>
      <c r="AE39" s="2" t="n"/>
      <c r="AF39" s="2" t="n"/>
      <c r="AG39" s="2" t="n"/>
      <c r="AH39" s="4" t="n"/>
      <c r="AI39" s="4" t="n"/>
      <c r="AJ39" s="4" t="n"/>
      <c r="AK39" s="4" t="n"/>
      <c r="AL39" s="4" t="n"/>
      <c r="AM39" s="4" t="n"/>
      <c r="AN39" s="4" t="n"/>
      <c r="AO39" s="7" t="n"/>
      <c r="AP39" s="7" t="n"/>
      <c r="AQ39" s="4" t="n"/>
      <c r="AR39" s="4" t="n"/>
      <c r="AS39" s="7" t="n"/>
      <c r="AT39" s="4" t="n"/>
      <c r="AU39" s="4" t="n"/>
      <c r="AV39" s="7" t="n"/>
      <c r="AW39" s="4" t="n"/>
      <c r="AX39" s="4" t="n"/>
      <c r="AY39" s="7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7" t="n"/>
      <c r="BK39" s="7" t="n"/>
      <c r="BL39" s="7" t="n"/>
      <c r="BM39" s="7" t="n"/>
      <c r="BN39" s="4" t="n"/>
      <c r="BO39" s="4" t="n"/>
      <c r="BP39" s="4" t="n"/>
      <c r="BQ39" s="4" t="n"/>
      <c r="BR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7" t="n"/>
      <c r="AB40" s="7" t="n"/>
      <c r="AC40" s="7" t="n"/>
      <c r="AD40" s="7" t="n"/>
      <c r="AE40" s="2" t="n"/>
      <c r="AF40" s="2" t="n"/>
      <c r="AG40" s="2" t="n"/>
      <c r="AH40" s="4" t="n"/>
      <c r="AI40" s="4" t="n"/>
      <c r="AJ40" s="4" t="n"/>
      <c r="AK40" s="4" t="n"/>
      <c r="AL40" s="4" t="n"/>
      <c r="AM40" s="4" t="n"/>
      <c r="AN40" s="4" t="n"/>
      <c r="AO40" s="7" t="n"/>
      <c r="AP40" s="7" t="n"/>
      <c r="AQ40" s="4" t="n"/>
      <c r="AR40" s="4" t="n"/>
      <c r="AS40" s="7" t="n"/>
      <c r="AT40" s="4" t="n"/>
      <c r="AU40" s="4" t="n"/>
      <c r="AV40" s="7" t="n"/>
      <c r="AW40" s="4" t="n"/>
      <c r="AX40" s="4" t="n"/>
      <c r="AY40" s="7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7" t="n"/>
      <c r="BK40" s="7" t="n"/>
      <c r="BL40" s="7" t="n"/>
      <c r="BM40" s="7" t="n"/>
      <c r="BN40" s="4" t="n"/>
      <c r="BO40" s="4" t="n"/>
      <c r="BP40" s="4" t="n"/>
      <c r="BQ40" s="4" t="n"/>
      <c r="BR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7" t="n"/>
      <c r="AB41" s="7" t="n"/>
      <c r="AC41" s="7" t="n"/>
      <c r="AD41" s="7" t="n"/>
      <c r="AE41" s="2" t="n"/>
      <c r="AF41" s="2" t="n"/>
      <c r="AG41" s="2" t="n"/>
      <c r="AH41" s="4" t="n"/>
      <c r="AI41" s="4" t="n"/>
      <c r="AJ41" s="4" t="n"/>
      <c r="AK41" s="4" t="n"/>
      <c r="AL41" s="4" t="n"/>
      <c r="AM41" s="4" t="n"/>
      <c r="AN41" s="4" t="n"/>
      <c r="AO41" s="7" t="n"/>
      <c r="AP41" s="7" t="n"/>
      <c r="AQ41" s="4" t="n"/>
      <c r="AR41" s="4" t="n"/>
      <c r="AS41" s="7" t="n"/>
      <c r="AT41" s="4" t="n"/>
      <c r="AU41" s="4" t="n"/>
      <c r="AV41" s="7" t="n"/>
      <c r="AW41" s="4" t="n"/>
      <c r="AX41" s="4" t="n"/>
      <c r="AY41" s="7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7" t="n"/>
      <c r="BK41" s="7" t="n"/>
      <c r="BL41" s="7" t="n"/>
      <c r="BM41" s="7" t="n"/>
      <c r="BN41" s="4" t="n"/>
      <c r="BO41" s="4" t="n"/>
      <c r="BP41" s="4" t="n"/>
      <c r="BQ41" s="4" t="n"/>
      <c r="BR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7" t="n"/>
      <c r="AB42" s="7" t="n"/>
      <c r="AC42" s="7" t="n"/>
      <c r="AD42" s="7" t="n"/>
      <c r="AE42" s="2" t="n"/>
      <c r="AF42" s="2" t="n"/>
      <c r="AG42" s="2" t="n"/>
      <c r="AH42" s="4" t="n"/>
      <c r="AI42" s="4" t="n"/>
      <c r="AJ42" s="4" t="n"/>
      <c r="AK42" s="4" t="n"/>
      <c r="AL42" s="4" t="n"/>
      <c r="AM42" s="4" t="n"/>
      <c r="AN42" s="4" t="n"/>
      <c r="AO42" s="7" t="n"/>
      <c r="AP42" s="7" t="n"/>
      <c r="AQ42" s="4" t="n"/>
      <c r="AR42" s="4" t="n"/>
      <c r="AS42" s="7" t="n"/>
      <c r="AT42" s="4" t="n"/>
      <c r="AU42" s="4" t="n"/>
      <c r="AV42" s="7" t="n"/>
      <c r="AW42" s="4" t="n"/>
      <c r="AX42" s="4" t="n"/>
      <c r="AY42" s="7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7" t="n"/>
      <c r="BK42" s="7" t="n"/>
      <c r="BL42" s="7" t="n"/>
      <c r="BM42" s="7" t="n"/>
      <c r="BN42" s="4" t="n"/>
      <c r="BO42" s="4" t="n"/>
      <c r="BP42" s="4" t="n"/>
      <c r="BQ42" s="4" t="n"/>
      <c r="BR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7" t="n"/>
      <c r="AB43" s="7" t="n"/>
      <c r="AC43" s="7" t="n"/>
      <c r="AD43" s="7" t="n"/>
      <c r="AE43" s="2" t="n"/>
      <c r="AF43" s="2" t="n"/>
      <c r="AG43" s="2" t="n"/>
      <c r="AH43" s="4" t="n"/>
      <c r="AI43" s="4" t="n"/>
      <c r="AJ43" s="4" t="n"/>
      <c r="AK43" s="4" t="n"/>
      <c r="AL43" s="4" t="n"/>
      <c r="AM43" s="4" t="n"/>
      <c r="AN43" s="4" t="n"/>
      <c r="AO43" s="7" t="n"/>
      <c r="AP43" s="7" t="n"/>
      <c r="AQ43" s="4" t="n"/>
      <c r="AR43" s="4" t="n"/>
      <c r="AS43" s="7" t="n"/>
      <c r="AT43" s="4" t="n"/>
      <c r="AU43" s="4" t="n"/>
      <c r="AV43" s="7" t="n"/>
      <c r="AW43" s="4" t="n"/>
      <c r="AX43" s="4" t="n"/>
      <c r="AY43" s="7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7" t="n"/>
      <c r="BK43" s="7" t="n"/>
      <c r="BL43" s="7" t="n"/>
      <c r="BM43" s="7" t="n"/>
      <c r="BN43" s="4" t="n"/>
      <c r="BO43" s="4" t="n"/>
      <c r="BP43" s="4" t="n"/>
      <c r="BQ43" s="4" t="n"/>
      <c r="BR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7" t="n"/>
      <c r="AB44" s="7" t="n"/>
      <c r="AC44" s="7" t="n"/>
      <c r="AD44" s="7" t="n"/>
      <c r="AE44" s="2" t="n"/>
      <c r="AF44" s="2" t="n"/>
      <c r="AG44" s="2" t="n"/>
      <c r="AH44" s="4" t="n"/>
      <c r="AI44" s="4" t="n"/>
      <c r="AJ44" s="4" t="n"/>
      <c r="AK44" s="4" t="n"/>
      <c r="AL44" s="4" t="n"/>
      <c r="AM44" s="4" t="n"/>
      <c r="AN44" s="4" t="n"/>
      <c r="AO44" s="7" t="n"/>
      <c r="AP44" s="7" t="n"/>
      <c r="AQ44" s="4" t="n"/>
      <c r="AR44" s="4" t="n"/>
      <c r="AS44" s="7" t="n"/>
      <c r="AT44" s="4" t="n"/>
      <c r="AU44" s="4" t="n"/>
      <c r="AV44" s="7" t="n"/>
      <c r="AW44" s="4" t="n"/>
      <c r="AX44" s="4" t="n"/>
      <c r="AY44" s="7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7" t="n"/>
      <c r="BK44" s="7" t="n"/>
      <c r="BL44" s="7" t="n"/>
      <c r="BM44" s="7" t="n"/>
      <c r="BN44" s="4" t="n"/>
      <c r="BO44" s="4" t="n"/>
      <c r="BP44" s="4" t="n"/>
      <c r="BQ44" s="4" t="n"/>
      <c r="BR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7" t="n"/>
      <c r="AB45" s="7" t="n"/>
      <c r="AC45" s="7" t="n"/>
      <c r="AD45" s="7" t="n"/>
      <c r="AE45" s="2" t="n"/>
      <c r="AF45" s="2" t="n"/>
      <c r="AG45" s="2" t="n"/>
      <c r="AH45" s="4" t="n"/>
      <c r="AI45" s="4" t="n"/>
      <c r="AJ45" s="4" t="n"/>
      <c r="AK45" s="4" t="n"/>
      <c r="AL45" s="4" t="n"/>
      <c r="AM45" s="4" t="n"/>
      <c r="AN45" s="4" t="n"/>
      <c r="AO45" s="7" t="n"/>
      <c r="AP45" s="7" t="n"/>
      <c r="AQ45" s="4" t="n"/>
      <c r="AR45" s="4" t="n"/>
      <c r="AS45" s="7" t="n"/>
      <c r="AT45" s="4" t="n"/>
      <c r="AU45" s="4" t="n"/>
      <c r="AV45" s="7" t="n"/>
      <c r="AW45" s="4" t="n"/>
      <c r="AX45" s="4" t="n"/>
      <c r="AY45" s="7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7" t="n"/>
      <c r="BK45" s="7" t="n"/>
      <c r="BL45" s="7" t="n"/>
      <c r="BM45" s="7" t="n"/>
      <c r="BN45" s="4" t="n"/>
      <c r="BO45" s="4" t="n"/>
      <c r="BP45" s="4" t="n"/>
      <c r="BQ45" s="4" t="n"/>
      <c r="BR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7" t="n"/>
      <c r="AB46" s="7" t="n"/>
      <c r="AC46" s="7" t="n"/>
      <c r="AD46" s="7" t="n"/>
      <c r="AE46" s="2" t="n"/>
      <c r="AF46" s="2" t="n"/>
      <c r="AG46" s="2" t="n"/>
      <c r="AH46" s="4" t="n"/>
      <c r="AI46" s="4" t="n"/>
      <c r="AJ46" s="4" t="n"/>
      <c r="AK46" s="4" t="n"/>
      <c r="AL46" s="4" t="n"/>
      <c r="AM46" s="4" t="n"/>
      <c r="AN46" s="4" t="n"/>
      <c r="AO46" s="7" t="n"/>
      <c r="AP46" s="7" t="n"/>
      <c r="AQ46" s="4" t="n"/>
      <c r="AR46" s="4" t="n"/>
      <c r="AS46" s="7" t="n"/>
      <c r="AT46" s="4" t="n"/>
      <c r="AU46" s="4" t="n"/>
      <c r="AV46" s="7" t="n"/>
      <c r="AW46" s="4" t="n"/>
      <c r="AX46" s="4" t="n"/>
      <c r="AY46" s="7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7" t="n"/>
      <c r="BK46" s="7" t="n"/>
      <c r="BL46" s="7" t="n"/>
      <c r="BM46" s="7" t="n"/>
      <c r="BN46" s="4" t="n"/>
      <c r="BO46" s="4" t="n"/>
      <c r="BP46" s="4" t="n"/>
      <c r="BQ46" s="4" t="n"/>
      <c r="BR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7" t="n"/>
      <c r="AB47" s="7" t="n"/>
      <c r="AC47" s="7" t="n"/>
      <c r="AD47" s="7" t="n"/>
      <c r="AE47" s="2" t="n"/>
      <c r="AF47" s="2" t="n"/>
      <c r="AG47" s="2" t="n"/>
      <c r="AH47" s="4" t="n"/>
      <c r="AI47" s="4" t="n"/>
      <c r="AJ47" s="4" t="n"/>
      <c r="AK47" s="4" t="n"/>
      <c r="AL47" s="4" t="n"/>
      <c r="AM47" s="4" t="n"/>
      <c r="AN47" s="4" t="n"/>
      <c r="AO47" s="7" t="n"/>
      <c r="AP47" s="7" t="n"/>
      <c r="AQ47" s="4" t="n"/>
      <c r="AR47" s="4" t="n"/>
      <c r="AS47" s="7" t="n"/>
      <c r="AT47" s="4" t="n"/>
      <c r="AU47" s="4" t="n"/>
      <c r="AV47" s="7" t="n"/>
      <c r="AW47" s="4" t="n"/>
      <c r="AX47" s="4" t="n"/>
      <c r="AY47" s="7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7" t="n"/>
      <c r="BK47" s="7" t="n"/>
      <c r="BL47" s="7" t="n"/>
      <c r="BM47" s="7" t="n"/>
      <c r="BN47" s="4" t="n"/>
      <c r="BO47" s="4" t="n"/>
      <c r="BP47" s="4" t="n"/>
      <c r="BQ47" s="4" t="n"/>
      <c r="BR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7" t="n"/>
      <c r="AB48" s="7" t="n"/>
      <c r="AC48" s="7" t="n"/>
      <c r="AD48" s="7" t="n"/>
      <c r="AE48" s="2" t="n"/>
      <c r="AF48" s="2" t="n"/>
      <c r="AG48" s="2" t="n"/>
      <c r="AH48" s="4" t="n"/>
      <c r="AI48" s="4" t="n"/>
      <c r="AJ48" s="4" t="n"/>
      <c r="AK48" s="4" t="n"/>
      <c r="AL48" s="4" t="n"/>
      <c r="AM48" s="4" t="n"/>
      <c r="AN48" s="4" t="n"/>
      <c r="AO48" s="7" t="n"/>
      <c r="AP48" s="7" t="n"/>
      <c r="AQ48" s="4" t="n"/>
      <c r="AR48" s="4" t="n"/>
      <c r="AS48" s="7" t="n"/>
      <c r="AT48" s="4" t="n"/>
      <c r="AU48" s="4" t="n"/>
      <c r="AV48" s="7" t="n"/>
      <c r="AW48" s="4" t="n"/>
      <c r="AX48" s="4" t="n"/>
      <c r="AY48" s="7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7" t="n"/>
      <c r="BK48" s="7" t="n"/>
      <c r="BL48" s="7" t="n"/>
      <c r="BM48" s="7" t="n"/>
      <c r="BN48" s="4" t="n"/>
      <c r="BO48" s="4" t="n"/>
      <c r="BP48" s="4" t="n"/>
      <c r="BQ48" s="4" t="n"/>
      <c r="BR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7" t="n"/>
      <c r="AB49" s="7" t="n"/>
      <c r="AC49" s="7" t="n"/>
      <c r="AD49" s="7" t="n"/>
      <c r="AE49" s="2" t="n"/>
      <c r="AF49" s="2" t="n"/>
      <c r="AG49" s="2" t="n"/>
      <c r="AH49" s="4" t="n"/>
      <c r="AI49" s="4" t="n"/>
      <c r="AJ49" s="4" t="n"/>
      <c r="AK49" s="4" t="n"/>
      <c r="AL49" s="4" t="n"/>
      <c r="AM49" s="4" t="n"/>
      <c r="AN49" s="4" t="n"/>
      <c r="AO49" s="7" t="n"/>
      <c r="AP49" s="7" t="n"/>
      <c r="AQ49" s="4" t="n"/>
      <c r="AR49" s="4" t="n"/>
      <c r="AS49" s="7" t="n"/>
      <c r="AT49" s="4" t="n"/>
      <c r="AU49" s="4" t="n"/>
      <c r="AV49" s="7" t="n"/>
      <c r="AW49" s="4" t="n"/>
      <c r="AX49" s="4" t="n"/>
      <c r="AY49" s="7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7" t="n"/>
      <c r="BK49" s="7" t="n"/>
      <c r="BL49" s="7" t="n"/>
      <c r="BM49" s="7" t="n"/>
      <c r="BN49" s="4" t="n"/>
      <c r="BO49" s="4" t="n"/>
      <c r="BP49" s="4" t="n"/>
      <c r="BQ49" s="4" t="n"/>
      <c r="BR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7" t="n"/>
      <c r="AB50" s="7" t="n"/>
      <c r="AC50" s="7" t="n"/>
      <c r="AD50" s="7" t="n"/>
      <c r="AE50" s="2" t="n"/>
      <c r="AF50" s="2" t="n"/>
      <c r="AG50" s="2" t="n"/>
      <c r="AH50" s="4" t="n"/>
      <c r="AI50" s="4" t="n"/>
      <c r="AJ50" s="4" t="n"/>
      <c r="AK50" s="4" t="n"/>
      <c r="AL50" s="4" t="n"/>
      <c r="AM50" s="4" t="n"/>
      <c r="AN50" s="4" t="n"/>
      <c r="AO50" s="7" t="n"/>
      <c r="AP50" s="7" t="n"/>
      <c r="AQ50" s="4" t="n"/>
      <c r="AR50" s="4" t="n"/>
      <c r="AS50" s="7" t="n"/>
      <c r="AT50" s="4" t="n"/>
      <c r="AU50" s="4" t="n"/>
      <c r="AV50" s="7" t="n"/>
      <c r="AW50" s="4" t="n"/>
      <c r="AX50" s="4" t="n"/>
      <c r="AY50" s="7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7" t="n"/>
      <c r="BK50" s="7" t="n"/>
      <c r="BL50" s="7" t="n"/>
      <c r="BM50" s="7" t="n"/>
      <c r="BN50" s="4" t="n"/>
      <c r="BO50" s="4" t="n"/>
      <c r="BP50" s="4" t="n"/>
      <c r="BQ50" s="4" t="n"/>
      <c r="BR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7" t="n"/>
      <c r="AB51" s="7" t="n"/>
      <c r="AC51" s="7" t="n"/>
      <c r="AD51" s="7" t="n"/>
      <c r="AE51" s="2" t="n"/>
      <c r="AF51" s="2" t="n"/>
      <c r="AG51" s="2" t="n"/>
      <c r="AH51" s="4" t="n"/>
      <c r="AI51" s="4" t="n"/>
      <c r="AJ51" s="4" t="n"/>
      <c r="AK51" s="4" t="n"/>
      <c r="AL51" s="4" t="n"/>
      <c r="AM51" s="4" t="n"/>
      <c r="AN51" s="4" t="n"/>
      <c r="AO51" s="7" t="n"/>
      <c r="AP51" s="7" t="n"/>
      <c r="AQ51" s="4" t="n"/>
      <c r="AR51" s="4" t="n"/>
      <c r="AS51" s="7" t="n"/>
      <c r="AT51" s="4" t="n"/>
      <c r="AU51" s="4" t="n"/>
      <c r="AV51" s="7" t="n"/>
      <c r="AW51" s="4" t="n"/>
      <c r="AX51" s="4" t="n"/>
      <c r="AY51" s="7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7" t="n"/>
      <c r="BK51" s="7" t="n"/>
      <c r="BL51" s="7" t="n"/>
      <c r="BM51" s="7" t="n"/>
      <c r="BN51" s="4" t="n"/>
      <c r="BO51" s="4" t="n"/>
      <c r="BP51" s="4" t="n"/>
      <c r="BQ51" s="4" t="n"/>
      <c r="BR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7" t="n"/>
      <c r="AB52" s="7" t="n"/>
      <c r="AC52" s="7" t="n"/>
      <c r="AD52" s="7" t="n"/>
      <c r="AE52" s="2" t="n"/>
      <c r="AF52" s="2" t="n"/>
      <c r="AG52" s="2" t="n"/>
      <c r="AH52" s="4" t="n"/>
      <c r="AI52" s="4" t="n"/>
      <c r="AJ52" s="4" t="n"/>
      <c r="AK52" s="4" t="n"/>
      <c r="AL52" s="4" t="n"/>
      <c r="AM52" s="4" t="n"/>
      <c r="AN52" s="4" t="n"/>
      <c r="AO52" s="7" t="n"/>
      <c r="AP52" s="7" t="n"/>
      <c r="AQ52" s="4" t="n"/>
      <c r="AR52" s="4" t="n"/>
      <c r="AS52" s="7" t="n"/>
      <c r="AT52" s="4" t="n"/>
      <c r="AU52" s="4" t="n"/>
      <c r="AV52" s="7" t="n"/>
      <c r="AW52" s="4" t="n"/>
      <c r="AX52" s="4" t="n"/>
      <c r="AY52" s="7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7" t="n"/>
      <c r="BK52" s="7" t="n"/>
      <c r="BL52" s="7" t="n"/>
      <c r="BM52" s="7" t="n"/>
      <c r="BN52" s="4" t="n"/>
      <c r="BO52" s="4" t="n"/>
      <c r="BP52" s="4" t="n"/>
      <c r="BQ52" s="4" t="n"/>
      <c r="BR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7" t="n"/>
      <c r="AB53" s="7" t="n"/>
      <c r="AC53" s="7" t="n"/>
      <c r="AD53" s="7" t="n"/>
      <c r="AE53" s="2" t="n"/>
      <c r="AF53" s="2" t="n"/>
      <c r="AG53" s="2" t="n"/>
      <c r="AH53" s="4" t="n"/>
      <c r="AI53" s="4" t="n"/>
      <c r="AJ53" s="4" t="n"/>
      <c r="AK53" s="4" t="n"/>
      <c r="AL53" s="4" t="n"/>
      <c r="AM53" s="4" t="n"/>
      <c r="AN53" s="4" t="n"/>
      <c r="AO53" s="7" t="n"/>
      <c r="AP53" s="7" t="n"/>
      <c r="AQ53" s="4" t="n"/>
      <c r="AR53" s="4" t="n"/>
      <c r="AS53" s="7" t="n"/>
      <c r="AT53" s="4" t="n"/>
      <c r="AU53" s="4" t="n"/>
      <c r="AV53" s="7" t="n"/>
      <c r="AW53" s="4" t="n"/>
      <c r="AX53" s="4" t="n"/>
      <c r="AY53" s="7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7" t="n"/>
      <c r="BK53" s="7" t="n"/>
      <c r="BL53" s="7" t="n"/>
      <c r="BM53" s="7" t="n"/>
      <c r="BN53" s="4" t="n"/>
      <c r="BO53" s="4" t="n"/>
      <c r="BP53" s="4" t="n"/>
      <c r="BQ53" s="4" t="n"/>
      <c r="BR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7" t="n"/>
      <c r="AB54" s="7" t="n"/>
      <c r="AC54" s="7" t="n"/>
      <c r="AD54" s="7" t="n"/>
      <c r="AE54" s="2" t="n"/>
      <c r="AF54" s="2" t="n"/>
      <c r="AG54" s="2" t="n"/>
      <c r="AH54" s="4" t="n"/>
      <c r="AI54" s="4" t="n"/>
      <c r="AJ54" s="4" t="n"/>
      <c r="AK54" s="4" t="n"/>
      <c r="AL54" s="4" t="n"/>
      <c r="AM54" s="4" t="n"/>
      <c r="AN54" s="4" t="n"/>
      <c r="AO54" s="7" t="n"/>
      <c r="AP54" s="7" t="n"/>
      <c r="AQ54" s="4" t="n"/>
      <c r="AR54" s="4" t="n"/>
      <c r="AS54" s="7" t="n"/>
      <c r="AT54" s="4" t="n"/>
      <c r="AU54" s="4" t="n"/>
      <c r="AV54" s="7" t="n"/>
      <c r="AW54" s="4" t="n"/>
      <c r="AX54" s="4" t="n"/>
      <c r="AY54" s="7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7" t="n"/>
      <c r="BK54" s="7" t="n"/>
      <c r="BL54" s="7" t="n"/>
      <c r="BM54" s="7" t="n"/>
      <c r="BN54" s="4" t="n"/>
      <c r="BO54" s="4" t="n"/>
      <c r="BP54" s="4" t="n"/>
      <c r="BQ54" s="4" t="n"/>
      <c r="BR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7" t="n"/>
      <c r="AB55" s="7" t="n"/>
      <c r="AC55" s="7" t="n"/>
      <c r="AD55" s="7" t="n"/>
      <c r="AE55" s="2" t="n"/>
      <c r="AF55" s="2" t="n"/>
      <c r="AG55" s="2" t="n"/>
      <c r="AH55" s="4" t="n"/>
      <c r="AI55" s="4" t="n"/>
      <c r="AJ55" s="4" t="n"/>
      <c r="AK55" s="4" t="n"/>
      <c r="AL55" s="4" t="n"/>
      <c r="AM55" s="4" t="n"/>
      <c r="AN55" s="4" t="n"/>
      <c r="AO55" s="7" t="n"/>
      <c r="AP55" s="7" t="n"/>
      <c r="AQ55" s="4" t="n"/>
      <c r="AR55" s="4" t="n"/>
      <c r="AS55" s="7" t="n"/>
      <c r="AT55" s="4" t="n"/>
      <c r="AU55" s="4" t="n"/>
      <c r="AV55" s="7" t="n"/>
      <c r="AW55" s="4" t="n"/>
      <c r="AX55" s="4" t="n"/>
      <c r="AY55" s="7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7" t="n"/>
      <c r="BK55" s="7" t="n"/>
      <c r="BL55" s="7" t="n"/>
      <c r="BM55" s="7" t="n"/>
      <c r="BN55" s="4" t="n"/>
      <c r="BO55" s="4" t="n"/>
      <c r="BP55" s="4" t="n"/>
      <c r="BQ55" s="4" t="n"/>
      <c r="BR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7" t="n"/>
      <c r="AB56" s="7" t="n"/>
      <c r="AC56" s="7" t="n"/>
      <c r="AD56" s="7" t="n"/>
      <c r="AE56" s="2" t="n"/>
      <c r="AF56" s="2" t="n"/>
      <c r="AG56" s="2" t="n"/>
      <c r="AH56" s="4" t="n"/>
      <c r="AI56" s="4" t="n"/>
      <c r="AJ56" s="4" t="n"/>
      <c r="AK56" s="4" t="n"/>
      <c r="AL56" s="4" t="n"/>
      <c r="AM56" s="4" t="n"/>
      <c r="AN56" s="4" t="n"/>
      <c r="AO56" s="7" t="n"/>
      <c r="AP56" s="7" t="n"/>
      <c r="AQ56" s="4" t="n"/>
      <c r="AR56" s="4" t="n"/>
      <c r="AS56" s="7" t="n"/>
      <c r="AT56" s="4" t="n"/>
      <c r="AU56" s="4" t="n"/>
      <c r="AV56" s="7" t="n"/>
      <c r="AW56" s="4" t="n"/>
      <c r="AX56" s="4" t="n"/>
      <c r="AY56" s="7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7" t="n"/>
      <c r="BK56" s="7" t="n"/>
      <c r="BL56" s="7" t="n"/>
      <c r="BM56" s="7" t="n"/>
      <c r="BN56" s="4" t="n"/>
      <c r="BO56" s="4" t="n"/>
      <c r="BP56" s="4" t="n"/>
      <c r="BQ56" s="4" t="n"/>
      <c r="BR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7" t="n"/>
      <c r="AB57" s="7" t="n"/>
      <c r="AC57" s="7" t="n"/>
      <c r="AD57" s="7" t="n"/>
      <c r="AE57" s="2" t="n"/>
      <c r="AF57" s="2" t="n"/>
      <c r="AG57" s="2" t="n"/>
      <c r="AH57" s="4" t="n"/>
      <c r="AI57" s="4" t="n"/>
      <c r="AJ57" s="4" t="n"/>
      <c r="AK57" s="4" t="n"/>
      <c r="AL57" s="4" t="n"/>
      <c r="AM57" s="4" t="n"/>
      <c r="AN57" s="4" t="n"/>
      <c r="AO57" s="7" t="n"/>
      <c r="AP57" s="7" t="n"/>
      <c r="AQ57" s="4" t="n"/>
      <c r="AR57" s="4" t="n"/>
      <c r="AS57" s="7" t="n"/>
      <c r="AT57" s="4" t="n"/>
      <c r="AU57" s="4" t="n"/>
      <c r="AV57" s="7" t="n"/>
      <c r="AW57" s="4" t="n"/>
      <c r="AX57" s="4" t="n"/>
      <c r="AY57" s="7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7" t="n"/>
      <c r="BK57" s="7" t="n"/>
      <c r="BL57" s="7" t="n"/>
      <c r="BM57" s="7" t="n"/>
      <c r="BN57" s="4" t="n"/>
      <c r="BO57" s="4" t="n"/>
      <c r="BP57" s="4" t="n"/>
      <c r="BQ57" s="4" t="n"/>
      <c r="BR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7" t="n"/>
      <c r="AB58" s="7" t="n"/>
      <c r="AC58" s="7" t="n"/>
      <c r="AD58" s="7" t="n"/>
      <c r="AE58" s="2" t="n"/>
      <c r="AF58" s="2" t="n"/>
      <c r="AG58" s="2" t="n"/>
      <c r="AH58" s="4" t="n"/>
      <c r="AI58" s="4" t="n"/>
      <c r="AJ58" s="4" t="n"/>
      <c r="AK58" s="4" t="n"/>
      <c r="AL58" s="4" t="n"/>
      <c r="AM58" s="4" t="n"/>
      <c r="AN58" s="4" t="n"/>
      <c r="AO58" s="7" t="n"/>
      <c r="AP58" s="7" t="n"/>
      <c r="AQ58" s="4" t="n"/>
      <c r="AR58" s="4" t="n"/>
      <c r="AS58" s="7" t="n"/>
      <c r="AT58" s="4" t="n"/>
      <c r="AU58" s="4" t="n"/>
      <c r="AV58" s="7" t="n"/>
      <c r="AW58" s="4" t="n"/>
      <c r="AX58" s="4" t="n"/>
      <c r="AY58" s="7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7" t="n"/>
      <c r="BK58" s="7" t="n"/>
      <c r="BL58" s="7" t="n"/>
      <c r="BM58" s="7" t="n"/>
      <c r="BN58" s="4" t="n"/>
      <c r="BO58" s="4" t="n"/>
      <c r="BP58" s="4" t="n"/>
      <c r="BQ58" s="4" t="n"/>
      <c r="BR58" s="7" t="n"/>
    </row>
  </sheetData>
  <autoFilter ref="A18:BR29"/>
  <mergeCells count="65">
    <mergeCell ref="BI2:BI14"/>
    <mergeCell ref="BQ15:BQ16"/>
    <mergeCell ref="BO15:BO18"/>
    <mergeCell ref="J2:J18"/>
    <mergeCell ref="AM2:AM18"/>
    <mergeCell ref="AY2:AY13"/>
    <mergeCell ref="BF2:BF18"/>
    <mergeCell ref="AO2:AO18"/>
    <mergeCell ref="AU2:AU18"/>
    <mergeCell ref="AW2:AW18"/>
    <mergeCell ref="BR2:BR18"/>
    <mergeCell ref="BA2:BA18"/>
    <mergeCell ref="I2:I18"/>
    <mergeCell ref="BC2:BC18"/>
    <mergeCell ref="AL2:AL18"/>
    <mergeCell ref="BO2:BO14"/>
    <mergeCell ref="B2:B18"/>
    <mergeCell ref="BH2:BH14"/>
    <mergeCell ref="D2:D18"/>
    <mergeCell ref="AG2:AG18"/>
    <mergeCell ref="BN15:BN18"/>
    <mergeCell ref="AJ2:AJ18"/>
    <mergeCell ref="M2:M18"/>
    <mergeCell ref="BL2:BL18"/>
    <mergeCell ref="AE2:AE18"/>
    <mergeCell ref="BM2:BM18"/>
    <mergeCell ref="AX2:AX18"/>
    <mergeCell ref="BD2:BD18"/>
    <mergeCell ref="AP2:AP12"/>
    <mergeCell ref="BE2:BE14"/>
    <mergeCell ref="AN2:AN14"/>
    <mergeCell ref="K2:K18"/>
    <mergeCell ref="BI15:BI18"/>
    <mergeCell ref="BP2:BP18"/>
    <mergeCell ref="F2:F18"/>
    <mergeCell ref="AN15:AN18"/>
    <mergeCell ref="H2:H18"/>
    <mergeCell ref="N2:N18"/>
    <mergeCell ref="AQ2:AQ18"/>
    <mergeCell ref="Q1:AD1"/>
    <mergeCell ref="A2:A18"/>
    <mergeCell ref="BJ2:BJ18"/>
    <mergeCell ref="BQ17:BQ18"/>
    <mergeCell ref="C2:C18"/>
    <mergeCell ref="AV2:AV13"/>
    <mergeCell ref="E2:E18"/>
    <mergeCell ref="BQ2:BQ14"/>
    <mergeCell ref="BG2:BG18"/>
    <mergeCell ref="BH15:BH18"/>
    <mergeCell ref="AS2:AS13"/>
    <mergeCell ref="BE15:BE18"/>
    <mergeCell ref="BN2:BN14"/>
    <mergeCell ref="AK2:AK18"/>
    <mergeCell ref="Q2:AD2"/>
    <mergeCell ref="O2:O18"/>
    <mergeCell ref="AF2:AF18"/>
    <mergeCell ref="AR2:AR18"/>
    <mergeCell ref="AH2:AH18"/>
    <mergeCell ref="BK2:BK18"/>
    <mergeCell ref="AT2:AT18"/>
    <mergeCell ref="AI2:AI18"/>
    <mergeCell ref="AZ2:AZ18"/>
    <mergeCell ref="BB2:BB18"/>
    <mergeCell ref="L2:L18"/>
    <mergeCell ref="G2:G18"/>
  </mergeCell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Mimi Mills</dc:creator>
  <dcterms:created xsi:type="dcterms:W3CDTF">2026-03-23T14:06:27Z</dcterms:created>
  <dcterms:modified xsi:type="dcterms:W3CDTF">2026-05-14T13:08:15Z</dcterms:modified>
  <cp:lastModifiedBy>Mimi Mills</cp:lastModifiedBy>
  <cp:lastPrinted>2026-03-23T14:15:48Z</cp:lastPrinted>
</cp:coreProperties>
</file>